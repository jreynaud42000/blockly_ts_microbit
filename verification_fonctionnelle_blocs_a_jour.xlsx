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ctions" sheetId="1" state="visible" r:id="rId3"/>
    <sheet name="Blocs" sheetId="2" state="visible" r:id="rId4"/>
    <sheet name="Résumé" sheetId="3" state="visible" r:id="rId5"/>
  </sheets>
  <definedNames>
    <definedName function="false" hidden="true" localSheetId="1" name="_xlnm._FilterDatabase" vbProcedure="false">Blocs!$A$1:$I$116</definedName>
  </definedName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<sst xmlns="http://schemas.openxmlformats.org/spreadsheetml/2006/main" count="1017" uniqueCount="435">
  <si>
    <t xml:space="preserve">Suivi de vérification fonctionnelle des blocs</t>
  </si>
  <si>
    <t xml:space="preserve">Programmation micro:bit V2 — interface Blockly</t>
  </si>
  <si>
    <t xml:space="preserve">Objectif</t>
  </si>
  <si>
    <t xml:space="preserve">Vérifier, bloc par bloc, que chaque bloc créé pour ce projet fonctionne réellement — aussi bien dans le simulateur du navigateur que sur une vraie carte micro:bit (avec le module Grove ou le robot correspondant si besoin).</t>
  </si>
  <si>
    <t xml:space="preserve">Contenu</t>
  </si>
  <si>
    <t xml:space="preserve">L'onglet "Blocs" liste les 115 blocs créés pour ce projet, variante sans robots (Maqueen Plus, Maqueen Lite, Kitrobot v2 et LiDAR retirés) (catégorie, sous-catégorie, libellé tel qu'affiché dans la boîte à outils, et identifiant technique interne). Les blocs standards de Blockly (Logique, Boucles natives, Texte, Maths de base, Variables, Fonctions) ne sont pas listés : ce ne sont pas des blocs créés pour ce projet.</t>
  </si>
  <si>
    <t xml:space="preserve">Comment remplir</t>
  </si>
  <si>
    <t xml:space="preserve">Pour chaque bloc, choisir une valeur dans les colonnes "Fonctionne en simulateur" et "Fonctionne sur carte réelle" (menu déroulant : À tester / Oui / Non / Partiel), puis renseigner la date, la personne qui a testé, et une remarque en cas de problème (comportement observé, message d'erreur, condition qui déclenche le bug...).</t>
  </si>
  <si>
    <t xml:space="preserve">Onglet Résumé</t>
  </si>
  <si>
    <t xml:space="preserve">Calcule automatiquement, pour chaque catégorie, le nombre de blocs, le nombre déjà testé et le nombre fonctionnel — se met à jour tout seul au fur et à mesure du remplissage de l'onglet "Blocs".</t>
  </si>
  <si>
    <t xml:space="preserve">Exemple de ligne remplie (onglet "Blocs", à titre d'illustration) :</t>
  </si>
  <si>
    <t xml:space="preserve">Catégorie</t>
  </si>
  <si>
    <t xml:space="preserve">Sous-catégorie</t>
  </si>
  <si>
    <t xml:space="preserve">Bloc</t>
  </si>
  <si>
    <t xml:space="preserve">Identifiant technique</t>
  </si>
  <si>
    <t xml:space="preserve">Fonctionne en simulateur</t>
  </si>
  <si>
    <t xml:space="preserve">Fonctionne sur carte réelle</t>
  </si>
  <si>
    <t xml:space="preserve">Date du test</t>
  </si>
  <si>
    <t xml:space="preserve">Testé par</t>
  </si>
  <si>
    <t xml:space="preserve">Remarques</t>
  </si>
  <si>
    <t xml:space="preserve">Temps</t>
  </si>
  <si>
    <t xml:space="preserve">attendre</t>
  </si>
  <si>
    <t xml:space="preserve">attendre_temps</t>
  </si>
  <si>
    <t xml:space="preserve">Oui</t>
  </si>
  <si>
    <t xml:space="preserve">2026-09-24</t>
  </si>
  <si>
    <t xml:space="preserve">J. Reynald</t>
  </si>
  <si>
    <t xml:space="preserve">RAS, testé avec des délais de 100 ms à 5 s</t>
  </si>
  <si>
    <t xml:space="preserve">moi</t>
  </si>
  <si>
    <t xml:space="preserve">attendre jusqu'à</t>
  </si>
  <si>
    <t xml:space="preserve">attendre_jusqua</t>
  </si>
  <si>
    <t xml:space="preserve">Partiel</t>
  </si>
  <si>
    <t xml:space="preserve">Simulateur : la boucle d'attente ne peut pas voir la condition changer pendant un tour ; le tour est ignoré sans erreur (PIÈGE nº54). A re-tester en simulation continue (appuyer pendant l'exécution). Carte réelle : inchangé, sleep() réellement bloquant.</t>
  </si>
  <si>
    <t xml:space="preserve">répéter toutes les ... h ... min ... s</t>
  </si>
  <si>
    <t xml:space="preserve">repeter_toutes_les</t>
  </si>
  <si>
    <t xml:space="preserve">remettre le chronomètre à 0</t>
  </si>
  <si>
    <t xml:space="preserve">reset_chrono</t>
  </si>
  <si>
    <t xml:space="preserve">À tester</t>
  </si>
  <si>
    <t xml:space="preserve">running_time() était figée à 0 dans le simulateur (valeur du chronomètre toujours 0). Corrigé depuis (PIÈGE nº55) : à re-tester.</t>
  </si>
  <si>
    <t xml:space="preserve">valeur du chronomètre en</t>
  </si>
  <si>
    <t xml:space="preserve">valeur_chrono</t>
  </si>
  <si>
    <t xml:space="preserve">Même cause que reset_chrono (running_time() figée à 0 en simulation, corrigée : PIÈGE nº55). A re-tester : la valeur doit avancer avec le temps et repartir de 0 après Réinitialiser.</t>
  </si>
  <si>
    <t xml:space="preserve">Affichage</t>
  </si>
  <si>
    <t xml:space="preserve">afficher</t>
  </si>
  <si>
    <t xml:space="preserve">afficher_valeur</t>
  </si>
  <si>
    <t xml:space="preserve">faire défiler</t>
  </si>
  <si>
    <t xml:space="preserve">faire_defiler</t>
  </si>
  <si>
    <t xml:space="preserve">afficher l'icône</t>
  </si>
  <si>
    <t xml:space="preserve">afficher_icone</t>
  </si>
  <si>
    <t xml:space="preserve">afficher l'image</t>
  </si>
  <si>
    <t xml:space="preserve">afficher_image_matrice</t>
  </si>
  <si>
    <t xml:space="preserve">effacer l'écran</t>
  </si>
  <si>
    <t xml:space="preserve">effacer_ecran</t>
  </si>
  <si>
    <t xml:space="preserve">Entrées/Sorties</t>
  </si>
  <si>
    <t xml:space="preserve">si le bouton ... est appuyé alors</t>
  </si>
  <si>
    <t xml:space="preserve">si_bouton_appuye</t>
  </si>
  <si>
    <t xml:space="preserve">si LOGO est touché alors</t>
  </si>
  <si>
    <t xml:space="preserve">si_logo_touche</t>
  </si>
  <si>
    <t xml:space="preserve">si secoué alors</t>
  </si>
  <si>
    <t xml:space="preserve">si_secoue_alors</t>
  </si>
  <si>
    <t xml:space="preserve">bouton ... est appuyé</t>
  </si>
  <si>
    <t xml:space="preserve">bouton_est_appuye</t>
  </si>
  <si>
    <t xml:space="preserve">le logo est appuyé</t>
  </si>
  <si>
    <t xml:space="preserve">logo_est_touche</t>
  </si>
  <si>
    <t xml:space="preserve">nombre de clics du bouton</t>
  </si>
  <si>
    <t xml:space="preserve">nombre_clics_bouton</t>
  </si>
  <si>
    <t xml:space="preserve">Code généré modifié (compteur cumulatif _lire_clics_x, PIÈGE nº53) et simulateur à session persistante : à re-tester des deux côtés. Scénario : 10 clics espacés sur B -&gt; icône Cœur.</t>
  </si>
  <si>
    <t xml:space="preserve">[Micro:bit] réinitialiser la carte</t>
  </si>
  <si>
    <t xml:space="preserve">reinitialiser_microbit</t>
  </si>
  <si>
    <t xml:space="preserve">Capteurs</t>
  </si>
  <si>
    <t xml:space="preserve">lorsque le bouton ... est pressé</t>
  </si>
  <si>
    <t xml:space="preserve">lorsque_bouton</t>
  </si>
  <si>
    <t xml:space="preserve">lorsque</t>
  </si>
  <si>
    <t xml:space="preserve">lorsque_geste</t>
  </si>
  <si>
    <t xml:space="preserve">lorsque la broche ... est</t>
  </si>
  <si>
    <t xml:space="preserve">lorsque_broche</t>
  </si>
  <si>
    <t xml:space="preserve">Mode tactile capacitif (set_touch_mode) activé automatiquement depuis PIÈGE nº57 : vérifier sur carte V2 qu'un seul doigt sur P0/P1/P2 suffit (sans toucher GND).</t>
  </si>
  <si>
    <t xml:space="preserve">lorsque le son ... est detecté</t>
  </si>
  <si>
    <t xml:space="preserve">lorsque_son_detecte</t>
  </si>
  <si>
    <t xml:space="preserve">sur le logo</t>
  </si>
  <si>
    <t xml:space="preserve">lorsque_logo</t>
  </si>
  <si>
    <t xml:space="preserve">accélération (mg)</t>
  </si>
  <si>
    <t xml:space="preserve">capteur_acceleration</t>
  </si>
  <si>
    <t xml:space="preserve">broche ... est pressée</t>
  </si>
  <si>
    <t xml:space="preserve">broche_est_pressee</t>
  </si>
  <si>
    <t xml:space="preserve">Même correctif que lorsque_broche (PIÈGE nº57) : vérifier sur carte V2 qu'un seul doigt suffit.</t>
  </si>
  <si>
    <t xml:space="preserve">niveau d'intensité lumineuse</t>
  </si>
  <si>
    <t xml:space="preserve">capteur_luminosite</t>
  </si>
  <si>
    <t xml:space="preserve">direction de la boussole (°)</t>
  </si>
  <si>
    <t xml:space="preserve">capteur_boussole_direction</t>
  </si>
  <si>
    <t xml:space="preserve">température (° C)</t>
  </si>
  <si>
    <t xml:space="preserve">capteur_temperature</t>
  </si>
  <si>
    <t xml:space="preserve">geste ... est actif</t>
  </si>
  <si>
    <t xml:space="preserve">geste_est_actif</t>
  </si>
  <si>
    <t xml:space="preserve">niveau sonore</t>
  </si>
  <si>
    <t xml:space="preserve">micro_intensite_son</t>
  </si>
  <si>
    <t xml:space="preserve">calibrer la boussole</t>
  </si>
  <si>
    <t xml:space="preserve">capteur_boussole_calibrer</t>
  </si>
  <si>
    <t xml:space="preserve">force magnétique (µT)</t>
  </si>
  <si>
    <t xml:space="preserve">capteur_boussole_force</t>
  </si>
  <si>
    <t xml:space="preserve">rotation (°)</t>
  </si>
  <si>
    <t xml:space="preserve">capteur_rotation</t>
  </si>
  <si>
    <t xml:space="preserve">temps d'exécution</t>
  </si>
  <si>
    <t xml:space="preserve">temps_execution</t>
  </si>
  <si>
    <t xml:space="preserve">spécifier la gamme de l'acceleromètre</t>
  </si>
  <si>
    <t xml:space="preserve">gamme_accelerometre</t>
  </si>
  <si>
    <t xml:space="preserve">définit le seuil du son ... à</t>
  </si>
  <si>
    <t xml:space="preserve">micro_definir_seuil</t>
  </si>
  <si>
    <t xml:space="preserve">Actionneurs (Audio)</t>
  </si>
  <si>
    <t xml:space="preserve">[Audio] jouer la musique</t>
  </si>
  <si>
    <t xml:space="preserve">audio_jouer</t>
  </si>
  <si>
    <t xml:space="preserve">[Audio] arrêter la musique</t>
  </si>
  <si>
    <t xml:space="preserve">audio_arreter</t>
  </si>
  <si>
    <t xml:space="preserve">[Music] jouer la mélodie</t>
  </si>
  <si>
    <t xml:space="preserve">music_jouer_melodie</t>
  </si>
  <si>
    <t xml:space="preserve">[Speech] dire ... vitesse ... hauteur</t>
  </si>
  <si>
    <t xml:space="preserve">speech_dire</t>
  </si>
  <si>
    <t xml:space="preserve">Communication</t>
  </si>
  <si>
    <t xml:space="preserve">Groupe</t>
  </si>
  <si>
    <t xml:space="preserve">allumer la radio</t>
  </si>
  <si>
    <t xml:space="preserve">radio_activer</t>
  </si>
  <si>
    <t xml:space="preserve">radio : définir le groupe</t>
  </si>
  <si>
    <t xml:space="preserve">radio_groupe</t>
  </si>
  <si>
    <t xml:space="preserve">Envoi</t>
  </si>
  <si>
    <t xml:space="preserve">envoyer le nombre ... par radio</t>
  </si>
  <si>
    <t xml:space="preserve">radio_envoyer_nombre</t>
  </si>
  <si>
    <t xml:space="preserve">envoyer la valeur ... = ... par radio</t>
  </si>
  <si>
    <t xml:space="preserve">radio_envoyer_valeur</t>
  </si>
  <si>
    <t xml:space="preserve">envoyer msg radio</t>
  </si>
  <si>
    <t xml:space="preserve">radio_envoyer_texte</t>
  </si>
  <si>
    <t xml:space="preserve">Réception</t>
  </si>
  <si>
    <t xml:space="preserve">quand la radio reçoit</t>
  </si>
  <si>
    <t xml:space="preserve">radio_quand_recu</t>
  </si>
  <si>
    <t xml:space="preserve">radio :</t>
  </si>
  <si>
    <t xml:space="preserve">radio_lecture</t>
  </si>
  <si>
    <t xml:space="preserve">Plus</t>
  </si>
  <si>
    <t xml:space="preserve">radio : puissance d'émission</t>
  </si>
  <si>
    <t xml:space="preserve">radio_puissance</t>
  </si>
  <si>
    <t xml:space="preserve">radio : bande de fréquence</t>
  </si>
  <si>
    <t xml:space="preserve">radio_canal</t>
  </si>
  <si>
    <t xml:space="preserve">Servos</t>
  </si>
  <si>
    <t xml:space="preserve">régler l'angle du servomoteur ... à ... °</t>
  </si>
  <si>
    <t xml:space="preserve">servo_angle</t>
  </si>
  <si>
    <t xml:space="preserve">servomoteur ... à rotation continue fonctionne à ... %</t>
  </si>
  <si>
    <t xml:space="preserve">servo_continu</t>
  </si>
  <si>
    <t xml:space="preserve">arrêter le servomoteur</t>
  </si>
  <si>
    <t xml:space="preserve">servo_arreter</t>
  </si>
  <si>
    <t xml:space="preserve">mettre l'arrêt au neutre du servomoteur ... à</t>
  </si>
  <si>
    <t xml:space="preserve">servo_arret_neutre</t>
  </si>
  <si>
    <t xml:space="preserve">définir l'intervalle du servomoteur ... de ... à</t>
  </si>
  <si>
    <t xml:space="preserve">servo_intervalle</t>
  </si>
  <si>
    <t xml:space="preserve">régler la largeur d'impulsion du servomoteur ... à ... µs</t>
  </si>
  <si>
    <t xml:space="preserve">servo_impulsion</t>
  </si>
  <si>
    <t xml:space="preserve">Maqueen Plus</t>
  </si>
  <si>
    <t xml:space="preserve">moteur ... à ... (-255 à 255)</t>
  </si>
  <si>
    <t xml:space="preserve">maqueen_moteur</t>
  </si>
  <si>
    <t xml:space="preserve">arrêter le moteur</t>
  </si>
  <si>
    <t xml:space="preserve">maqueen_arreter</t>
  </si>
  <si>
    <t xml:space="preserve">capteur de ligne ... sur la ligne</t>
  </si>
  <si>
    <t xml:space="preserve">maqueen_ligne_etat</t>
  </si>
  <si>
    <t xml:space="preserve">valeur brute du capteur de ligne</t>
  </si>
  <si>
    <t xml:space="preserve">maqueen_ligne_valeur</t>
  </si>
  <si>
    <t xml:space="preserve">phare</t>
  </si>
  <si>
    <t xml:space="preserve">maqueen_phare</t>
  </si>
  <si>
    <t xml:space="preserve">DEL RGB ... en</t>
  </si>
  <si>
    <t xml:space="preserve">maqueen_rgb_couleur</t>
  </si>
  <si>
    <t xml:space="preserve">éteindre les DEL RGB</t>
  </si>
  <si>
    <t xml:space="preserve">maqueen_rgb_eteindre</t>
  </si>
  <si>
    <t xml:space="preserve">distance (cm) capteur ultrason Maqueen</t>
  </si>
  <si>
    <t xml:space="preserve">maqueen_distance</t>
  </si>
  <si>
    <t xml:space="preserve">Maqueen Plus v3 : vitesse du suiveur de ligne</t>
  </si>
  <si>
    <t xml:space="preserve">maqueen_v3_vitesse_suivi</t>
  </si>
  <si>
    <t xml:space="preserve">Maqueen Plus v3 : aux carrefours, avancer</t>
  </si>
  <si>
    <t xml:space="preserve">maqueen_v3_mode_carrefour</t>
  </si>
  <si>
    <t xml:space="preserve">Maqueen Plus v3 : aux intersections en T, avancer</t>
  </si>
  <si>
    <t xml:space="preserve">maqueen_v3_mode_T</t>
  </si>
  <si>
    <t xml:space="preserve">Maqueen Plus v3 : aux intersections à gauche, avancer</t>
  </si>
  <si>
    <t xml:space="preserve">maqueen_v3_mode_gauche</t>
  </si>
  <si>
    <t xml:space="preserve">Maqueen Plus v3 : aux intersections à droite, avancer</t>
  </si>
  <si>
    <t xml:space="preserve">maqueen_v3_mode_droite</t>
  </si>
  <si>
    <t xml:space="preserve">Maqueen Plus v3 : ... le suiveur de ligne</t>
  </si>
  <si>
    <t xml:space="preserve">maqueen_v3_suiveur</t>
  </si>
  <si>
    <t xml:space="preserve">Maqueen Plus v3 : intersection détectée (code)</t>
  </si>
  <si>
    <t xml:space="preserve">maqueen_v3_intersection_detectee</t>
  </si>
  <si>
    <t xml:space="preserve">Maqueen Plus v3 : intersection détectée est ... ?</t>
  </si>
  <si>
    <t xml:space="preserve">maqueen_v3_intersection_est</t>
  </si>
  <si>
    <t xml:space="preserve">Maqueen Plus v3 : intensité lumineuse à</t>
  </si>
  <si>
    <t xml:space="preserve">maqueen_v3_luminosite</t>
  </si>
  <si>
    <t xml:space="preserve">Maqueen Plus v3 : ... cm ... attendre la fin</t>
  </si>
  <si>
    <t xml:space="preserve">maqueen_v3_pid_avancer</t>
  </si>
  <si>
    <t xml:space="preserve">Maqueen Plus v3 : tourner à ... ° ... attendre la fin</t>
  </si>
  <si>
    <t xml:space="preserve">maqueen_v3_pid_tourner</t>
  </si>
  <si>
    <t xml:space="preserve">Maqueen Plus v3 : vitesse réelle de la roue ... (cm/s)</t>
  </si>
  <si>
    <t xml:space="preserve">maqueen_v3_vitesse_reelle</t>
  </si>
  <si>
    <t xml:space="preserve">Maqueen Plus v3 : arrêter le contrôle PID en cours</t>
  </si>
  <si>
    <t xml:space="preserve">maqueen_v3_pid_stop</t>
  </si>
  <si>
    <t xml:space="preserve">Maqueen Plus v3 : DEL de carrosserie ... en</t>
  </si>
  <si>
    <t xml:space="preserve">maqueen_v3_del_carrosserie</t>
  </si>
  <si>
    <t xml:space="preserve">Maqueen Plus : connecter le récepteur infrarouge à</t>
  </si>
  <si>
    <t xml:space="preserve">maqueen_ir_init</t>
  </si>
  <si>
    <t xml:space="preserve">lorsque la commande ... est reçue par télécommande noire (NEC)</t>
  </si>
  <si>
    <t xml:space="preserve">lorsque_ir_noire</t>
  </si>
  <si>
    <t xml:space="preserve">lorsque la commande ... est reçue par télécommande grise Car mp3 (NEC)</t>
  </si>
  <si>
    <t xml:space="preserve">lorsque_ir_grise</t>
  </si>
  <si>
    <t xml:space="preserve">Maqueen Plus : décoder le récepteur infrarouge</t>
  </si>
  <si>
    <t xml:space="preserve">maqueen_ir_decoder</t>
  </si>
  <si>
    <t xml:space="preserve">Maqueen Plus : code reçu du récepteur infrarouge</t>
  </si>
  <si>
    <t xml:space="preserve">maqueen_ir_dernier_code</t>
  </si>
  <si>
    <t xml:space="preserve">Maqueen Lite</t>
  </si>
  <si>
    <t xml:space="preserve">Maqueen Lite : moteur ... à ... (-255 à 255)</t>
  </si>
  <si>
    <t xml:space="preserve">maqueenlite_moteur</t>
  </si>
  <si>
    <t xml:space="preserve">Maqueen Lite : arrêter le moteur</t>
  </si>
  <si>
    <t xml:space="preserve">maqueenlite_arreter</t>
  </si>
  <si>
    <t xml:space="preserve">Maqueen Lite : distance (cm) capteur ultrason</t>
  </si>
  <si>
    <t xml:space="preserve">maqueenlite_distance</t>
  </si>
  <si>
    <t xml:space="preserve">Maqueen Lite : capteur de ligne ... (0 ou 1)</t>
  </si>
  <si>
    <t xml:space="preserve">maqueenlite_ligne</t>
  </si>
  <si>
    <t xml:space="preserve">lorsque le capteur de ligne ... passe à l'état</t>
  </si>
  <si>
    <t xml:space="preserve">lorsque_maqueenlite_ligne</t>
  </si>
  <si>
    <t xml:space="preserve">Maqueen Lite : DEL</t>
  </si>
  <si>
    <t xml:space="preserve">maqueenlite_del</t>
  </si>
  <si>
    <t xml:space="preserve">Maqueen Lite : servo ... angle ... °</t>
  </si>
  <si>
    <t xml:space="preserve">maqueenlite_servo</t>
  </si>
  <si>
    <t xml:space="preserve">Kitrobot v2</t>
  </si>
  <si>
    <t xml:space="preserve">Kitrobot v2 : servo gauche ... servo droit</t>
  </si>
  <si>
    <t xml:space="preserve">kitrobot_definir_servos</t>
  </si>
  <si>
    <t xml:space="preserve">Kitrobot v2 : capteur ultrason sur</t>
  </si>
  <si>
    <t xml:space="preserve">kitrobot_definir_ultrason</t>
  </si>
  <si>
    <t xml:space="preserve">Kitrobot v2 : buzzer sur</t>
  </si>
  <si>
    <t xml:space="preserve">kitrobot_definir_buzzer</t>
  </si>
  <si>
    <t xml:space="preserve">Kitrobot v2 : capteur de ligne gauche ... droit</t>
  </si>
  <si>
    <t xml:space="preserve">kitrobot_definir_lignes</t>
  </si>
  <si>
    <t xml:space="preserve">Kitrobot v2 : ruban RGB sur ... avec ... LED(s)</t>
  </si>
  <si>
    <t xml:space="preserve">kitrobot_definir_ruban</t>
  </si>
  <si>
    <t xml:space="preserve">Kitrobot v2 : distance (cm)</t>
  </si>
  <si>
    <t xml:space="preserve">kitrobot_distance</t>
  </si>
  <si>
    <t xml:space="preserve">Kitrobot v2 : état du capteur de ligne</t>
  </si>
  <si>
    <t xml:space="preserve">kitrobot_ligne</t>
  </si>
  <si>
    <t xml:space="preserve">Kitrobot v2 : ... à la vitesse ... %</t>
  </si>
  <si>
    <t xml:space="preserve">kitrobot_avancer</t>
  </si>
  <si>
    <t xml:space="preserve">Kitrobot v2 : pivoter ... vitesse ... %</t>
  </si>
  <si>
    <t xml:space="preserve">kitrobot_pivoter</t>
  </si>
  <si>
    <t xml:space="preserve">Kitrobot v2 : contrôler le moteur ... direction ... vitesse ... %</t>
  </si>
  <si>
    <t xml:space="preserve">kitrobot_moteur</t>
  </si>
  <si>
    <t xml:space="preserve">Kitrobot v2 : arrêter le moteur</t>
  </si>
  <si>
    <t xml:space="preserve">kitrobot_arreter_moteur</t>
  </si>
  <si>
    <t xml:space="preserve">Kitrobot v2 : avancer d'une case</t>
  </si>
  <si>
    <t xml:space="preserve">kitrobot_case_avant</t>
  </si>
  <si>
    <t xml:space="preserve">Kitrobot v2 : reculer d'une case</t>
  </si>
  <si>
    <t xml:space="preserve">kitrobot_case_arriere</t>
  </si>
  <si>
    <t xml:space="preserve">Kitrobot v2 : pivoter à gauche</t>
  </si>
  <si>
    <t xml:space="preserve">kitrobot_pivoter_gauche</t>
  </si>
  <si>
    <t xml:space="preserve">Kitrobot v2 : pivoter à droite</t>
  </si>
  <si>
    <t xml:space="preserve">kitrobot_pivoter_droite</t>
  </si>
  <si>
    <t xml:space="preserve">Kitrobot v2 : arrêter le robot</t>
  </si>
  <si>
    <t xml:space="preserve">kitrobot_arreter</t>
  </si>
  <si>
    <t xml:space="preserve">Kitrobot v2 : buzzer à la fréquence ... Hz pendant ... ms</t>
  </si>
  <si>
    <t xml:space="preserve">kitrobot_buzzer</t>
  </si>
  <si>
    <t xml:space="preserve">Kitrobot v2 : clignoter le robot</t>
  </si>
  <si>
    <t xml:space="preserve">kitrobot_clignoter</t>
  </si>
  <si>
    <t xml:space="preserve">Kitrobot v2 : LED RGB ... à</t>
  </si>
  <si>
    <t xml:space="preserve">kitrobot_del_couleur</t>
  </si>
  <si>
    <t xml:space="preserve">Kitrobot v2 : LED RGB en ... à R ... V ... B</t>
  </si>
  <si>
    <t xml:space="preserve">kitrobot_del_rgb</t>
  </si>
  <si>
    <t xml:space="preserve">Kitrobot v2 : Arc-en-ciel</t>
  </si>
  <si>
    <t xml:space="preserve">kitrobot_arcenciel</t>
  </si>
  <si>
    <t xml:space="preserve">LiDAR</t>
  </si>
  <si>
    <t xml:space="preserve">LiDAR ... : configurer la taille</t>
  </si>
  <si>
    <t xml:space="preserve">lidar_initialiser</t>
  </si>
  <si>
    <t xml:space="preserve">LiDAR ... : distance mesurée au point x ... y ... (mm)</t>
  </si>
  <si>
    <t xml:space="preserve">lidar_point</t>
  </si>
  <si>
    <t xml:space="preserve">LiDAR : configurer la distance d'évitement à ... (mm)</t>
  </si>
  <si>
    <t xml:space="preserve">lidar_distance_evitement</t>
  </si>
  <si>
    <t xml:space="preserve">LiDAR : acquérir les données d'évitement</t>
  </si>
  <si>
    <t xml:space="preserve">lidar_acquerir</t>
  </si>
  <si>
    <t xml:space="preserve">LiDAR : signal d'urgence activé ?</t>
  </si>
  <si>
    <t xml:space="preserve">lidar_urgence</t>
  </si>
  <si>
    <t xml:space="preserve">LiDAR : direction à suivre pour éviter l'obstacle</t>
  </si>
  <si>
    <t xml:space="preserve">lidar_direction</t>
  </si>
  <si>
    <t xml:space="preserve">LiDAR : direction à suivre est ... ?</t>
  </si>
  <si>
    <t xml:space="preserve">lidar_direction_est</t>
  </si>
  <si>
    <t xml:space="preserve">LiDAR : distance (en cm) de l'obstacle à ... texte</t>
  </si>
  <si>
    <t xml:space="preserve">lidar_distance_cote</t>
  </si>
  <si>
    <t xml:space="preserve">Grove</t>
  </si>
  <si>
    <t xml:space="preserve">LED</t>
  </si>
  <si>
    <t xml:space="preserve">[LED] contrôler la LED à ... sur la broche</t>
  </si>
  <si>
    <t xml:space="preserve">grove_led_etat</t>
  </si>
  <si>
    <t xml:space="preserve">[LED] régler la luminosité à ... sur la broche</t>
  </si>
  <si>
    <t xml:space="preserve">grove_led_luminosite</t>
  </si>
  <si>
    <t xml:space="preserve">Ruban RGB (WS2813)</t>
  </si>
  <si>
    <t xml:space="preserve">définir le ruban RGB sur ... avec ... LED(s)</t>
  </si>
  <si>
    <t xml:space="preserve">grove_ruban_definir</t>
  </si>
  <si>
    <t xml:space="preserve">colorer tout le ruban en</t>
  </si>
  <si>
    <t xml:space="preserve">grove_ruban_couleur</t>
  </si>
  <si>
    <t xml:space="preserve">éteindre le ruban</t>
  </si>
  <si>
    <t xml:space="preserve">grove_ruban_effacer</t>
  </si>
  <si>
    <t xml:space="preserve">colorer la LED n° ... en</t>
  </si>
  <si>
    <t xml:space="preserve">grove_ruban_couleur_index</t>
  </si>
  <si>
    <t xml:space="preserve">éteindre la LED n°</t>
  </si>
  <si>
    <t xml:space="preserve">grove_ruban_effacer_index</t>
  </si>
  <si>
    <t xml:space="preserve">colorer tout le ruban en R ... V ... B</t>
  </si>
  <si>
    <t xml:space="preserve">grove_ruban_perso</t>
  </si>
  <si>
    <t xml:space="preserve">colorer la LED n° ... en R ... V ... B</t>
  </si>
  <si>
    <t xml:space="preserve">grove_ruban_perso_index</t>
  </si>
  <si>
    <t xml:space="preserve">luminosité du ruban à ... %</t>
  </si>
  <si>
    <t xml:space="preserve">grove_ruban_luminosite</t>
  </si>
  <si>
    <t xml:space="preserve">Afficheur 4 digits</t>
  </si>
  <si>
    <t xml:space="preserve">définir l'afficheur 4 digits : CLK ... DIO</t>
  </si>
  <si>
    <t xml:space="preserve">grove_4d_definir</t>
  </si>
  <si>
    <t xml:space="preserve">afficher le nombre</t>
  </si>
  <si>
    <t xml:space="preserve">grove_4d_nombre</t>
  </si>
  <si>
    <t xml:space="preserve">afficher le chiffre ... à la position</t>
  </si>
  <si>
    <t xml:space="preserve">grove_4d_chiffre</t>
  </si>
  <si>
    <t xml:space="preserve">les deux points</t>
  </si>
  <si>
    <t xml:space="preserve">grove_4d_points</t>
  </si>
  <si>
    <t xml:space="preserve">luminosité de l'afficheur à</t>
  </si>
  <si>
    <t xml:space="preserve">grove_4d_luminosite</t>
  </si>
  <si>
    <t xml:space="preserve">effacer l'afficheur</t>
  </si>
  <si>
    <t xml:space="preserve">grove_4d_effacer</t>
  </si>
  <si>
    <t xml:space="preserve">Ultrason</t>
  </si>
  <si>
    <t xml:space="preserve">distance (cm) sur</t>
  </si>
  <si>
    <t xml:space="preserve">grove_ultrason_cm</t>
  </si>
  <si>
    <t xml:space="preserve">distance (pouces) sur</t>
  </si>
  <si>
    <t xml:space="preserve">grove_ultrason_pouces</t>
  </si>
  <si>
    <t xml:space="preserve">Joystick</t>
  </si>
  <si>
    <t xml:space="preserve">valeur du joystick sur</t>
  </si>
  <si>
    <t xml:space="preserve">grove_joystick_valeur</t>
  </si>
  <si>
    <t xml:space="preserve">joystick X ... Y ... vers</t>
  </si>
  <si>
    <t xml:space="preserve">grove_joystick_direction</t>
  </si>
  <si>
    <t xml:space="preserve">bouton du joystick sur ... pressé</t>
  </si>
  <si>
    <t xml:space="preserve">grove_joystick_bouton</t>
  </si>
  <si>
    <t xml:space="preserve">Capteur de gestes</t>
  </si>
  <si>
    <t xml:space="preserve">initialiser le capteur de gestes</t>
  </si>
  <si>
    <t xml:space="preserve">grove_gestes_init</t>
  </si>
  <si>
    <t xml:space="preserve">le geste détecté est</t>
  </si>
  <si>
    <t xml:space="preserve">grove_gestes_est</t>
  </si>
  <si>
    <t xml:space="preserve">geste détecté</t>
  </si>
  <si>
    <t xml:space="preserve">grove_gestes_lire</t>
  </si>
  <si>
    <t xml:space="preserve">Température &amp; humidité</t>
  </si>
  <si>
    <t xml:space="preserve">initialiser le capteur température &amp; humidité</t>
  </si>
  <si>
    <t xml:space="preserve">grove_th_init</t>
  </si>
  <si>
    <t xml:space="preserve">capteur T&amp;H : ... définir le </t>
  </si>
  <si>
    <t xml:space="preserve">grove_th_mesure</t>
  </si>
  <si>
    <t xml:space="preserve">définir le DHT11 sur</t>
  </si>
  <si>
    <t xml:space="preserve">grove_dht11_definir</t>
  </si>
  <si>
    <t xml:space="preserve">DHT11 :</t>
  </si>
  <si>
    <t xml:space="preserve">grove_dht11_mesure</t>
  </si>
  <si>
    <t xml:space="preserve">définir le DHT22 sur</t>
  </si>
  <si>
    <t xml:space="preserve">grove_dht22_definir</t>
  </si>
  <si>
    <t xml:space="preserve">DHT22 :</t>
  </si>
  <si>
    <t xml:space="preserve">grove_dht22_mesure</t>
  </si>
  <si>
    <t xml:space="preserve">Écran LCD 16x2</t>
  </si>
  <si>
    <t xml:space="preserve">initialiser l'écran LCD 16x2</t>
  </si>
  <si>
    <t xml:space="preserve">grove_lcd_init</t>
  </si>
  <si>
    <t xml:space="preserve">LCD : afficher ... en x ... y</t>
  </si>
  <si>
    <t xml:space="preserve">grove_lcd_texte</t>
  </si>
  <si>
    <t xml:space="preserve">LCD : effacer</t>
  </si>
  <si>
    <t xml:space="preserve">grove_lcd_effacer</t>
  </si>
  <si>
    <t xml:space="preserve">LCD : ... l'affichage</t>
  </si>
  <si>
    <t xml:space="preserve">grove_lcd_alimenter</t>
  </si>
  <si>
    <t xml:space="preserve">Non</t>
  </si>
  <si>
    <t xml:space="preserve">Capteur de couleur</t>
  </si>
  <si>
    <t xml:space="preserve">initialiser le capteur de couleur</t>
  </si>
  <si>
    <t xml:space="preserve">grove_couleur_init</t>
  </si>
  <si>
    <t xml:space="preserve">capteur de couleur : canal</t>
  </si>
  <si>
    <t xml:space="preserve">grove_couleur_lire</t>
  </si>
  <si>
    <t xml:space="preserve">Pilote moteur</t>
  </si>
  <si>
    <t xml:space="preserve">moteur canal ... vitesse</t>
  </si>
  <si>
    <t xml:space="preserve">grove_moteur_vitesse</t>
  </si>
  <si>
    <t xml:space="preserve">le moteur canal</t>
  </si>
  <si>
    <t xml:space="preserve">grove_moteur_action</t>
  </si>
  <si>
    <t xml:space="preserve">défaut du moteur canal</t>
  </si>
  <si>
    <t xml:space="preserve">grove_moteur_defaut</t>
  </si>
  <si>
    <t xml:space="preserve">CO₂ (SCD30 / SCD41)</t>
  </si>
  <si>
    <t xml:space="preserve">initialiser le capteur CO₂ SCD30</t>
  </si>
  <si>
    <t xml:space="preserve">grove_scd30_init</t>
  </si>
  <si>
    <t xml:space="preserve">SCD30 :</t>
  </si>
  <si>
    <t xml:space="preserve">grove_scd30_lire</t>
  </si>
  <si>
    <t xml:space="preserve">initialiser le capteur CO₂ SCD41</t>
  </si>
  <si>
    <t xml:space="preserve">grove_scd41_init</t>
  </si>
  <si>
    <t xml:space="preserve">SCD41 :</t>
  </si>
  <si>
    <t xml:space="preserve">grove_scd41_lire</t>
  </si>
  <si>
    <t xml:space="preserve">initialiser l'écran LCD RGB (V4.0)</t>
  </si>
  <si>
    <t xml:space="preserve">grove_lcdrgb_init</t>
  </si>
  <si>
    <t xml:space="preserve">Module V4.0 (JHD1313M3) : 5 V obligatoire. Vérifier que le fond passe au blanc à l'initialisation (adresses 0x3E et 0x62).</t>
  </si>
  <si>
    <t xml:space="preserve">LCD RGB : afficher ... en x y</t>
  </si>
  <si>
    <t xml:space="preserve">grove_lcdrgb_texte</t>
  </si>
  <si>
    <t xml:space="preserve">Vérifier le placement x 0-15, y 0-1.</t>
  </si>
  <si>
    <t xml:space="preserve">LCD RGB : effacer</t>
  </si>
  <si>
    <t xml:space="preserve">grove_lcdrgb_effacer</t>
  </si>
  <si>
    <t xml:space="preserve">LCD RGB : allumer/éteindre l'affichage</t>
  </si>
  <si>
    <t xml:space="preserve">grove_lcdrgb_alimenter</t>
  </si>
  <si>
    <t xml:space="preserve">Masque seulement les caractères (conservés) ; le fond ne change pas.</t>
  </si>
  <si>
    <t xml:space="preserve">LCD RGB : rétroéclairage (couleur)</t>
  </si>
  <si>
    <t xml:space="preserve">grove_lcdrgb_fond_couleur</t>
  </si>
  <si>
    <t xml:space="preserve">Tester chaque couleur de la palette ; « noir » doit éteindre le fond.</t>
  </si>
  <si>
    <t xml:space="preserve">LCD RGB : rétroéclairage rouge/vert/bleu</t>
  </si>
  <si>
    <t xml:space="preserve">grove_lcdrgb_fond_rvb</t>
  </si>
  <si>
    <t xml:space="preserve">Valeurs 0-255 ; vérifier le bornage (ex. 300 -&gt; 255) et l'ordre R/V/B (registres 4/3/2 de la puce PCA9633).</t>
  </si>
  <si>
    <t xml:space="preserve">LCD RGB : allumer/éteindre le rétroéclairage</t>
  </si>
  <si>
    <t xml:space="preserve">grove_lcdrgb_retro</t>
  </si>
  <si>
    <t xml:space="preserve">Éteindre coupe le fond ; allumer doit rétablir la dernière couleur choisie.</t>
  </si>
  <si>
    <t xml:space="preserve">Boucles</t>
  </si>
  <si>
    <t xml:space="preserve">Au démarrage</t>
  </si>
  <si>
    <t xml:space="preserve">au_demarrage</t>
  </si>
  <si>
    <t xml:space="preserve">Répéter indéfiniment</t>
  </si>
  <si>
    <t xml:space="preserve">boucle_infinie</t>
  </si>
  <si>
    <t xml:space="preserve">Maths</t>
  </si>
  <si>
    <t xml:space="preserve">de ... et</t>
  </si>
  <si>
    <t xml:space="preserve">math_min_max</t>
  </si>
  <si>
    <t xml:space="preserve">valeur absolue de</t>
  </si>
  <si>
    <t xml:space="preserve">math_absolue</t>
  </si>
  <si>
    <t xml:space="preserve">math_racine</t>
  </si>
  <si>
    <t xml:space="preserve">math_arrondi_custom</t>
  </si>
  <si>
    <t xml:space="preserve">projeter ... de ... et ... à</t>
  </si>
  <si>
    <t xml:space="preserve">math_map</t>
  </si>
  <si>
    <t xml:space="preserve">choisir au hasard vrai ou faux</t>
  </si>
  <si>
    <t xml:space="preserve">math_random_bool</t>
  </si>
  <si>
    <t xml:space="preserve">convert ... from</t>
  </si>
  <si>
    <t xml:space="preserve">math_convert</t>
  </si>
  <si>
    <t xml:space="preserve">Reconstruction</t>
  </si>
  <si>
    <t xml:space="preserve">Bloc de secours (instruction)</t>
  </si>
  <si>
    <t xml:space="preserve">code : ...</t>
  </si>
  <si>
    <t xml:space="preserve">code_brut</t>
  </si>
  <si>
    <t xml:space="preserve">Hors boîte à outils : créé automatiquement quand un .py importé contient une instruction non reconnue. Vérifier qu'il génère exactement le texte saisi.</t>
  </si>
  <si>
    <t xml:space="preserve">Bloc de secours (valeur)</t>
  </si>
  <si>
    <t xml:space="preserve">expression brute</t>
  </si>
  <si>
    <t xml:space="preserve">expression_brute</t>
  </si>
  <si>
    <t xml:space="preserve">Hors boîte à outils : créé automatiquement pour une expression non reconnue. Vérifier la valeur renvoyée (0 si vide).</t>
  </si>
  <si>
    <t xml:space="preserve">Résumé de la vérification par catégorie</t>
  </si>
  <si>
    <t xml:space="preserve">Nombre de blocs</t>
  </si>
  <si>
    <t xml:space="preserve">Testés en simulateur</t>
  </si>
  <si>
    <t xml:space="preserve">Fonctionnels en simulateur</t>
  </si>
  <si>
    <t xml:space="preserve">Testés sur carte réelle</t>
  </si>
  <si>
    <t xml:space="preserve">Fonctionnels sur carte réelle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</si>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</sst>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2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CE6F1"/>
        <bgColor rgb="FFCFE2F3"/>
      </patternFill>
    </fill>
    <fill>
      <patternFill patternType="solid">
        <fgColor rgb="FFE2EFDA"/>
        <bgColor rgb="FFD9EAD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AD1DC"/>
        <bgColor rgb="FFF4CCCC"/>
      </patternFill>
    </fill>
    <fill>
      <patternFill patternType="solid">
        <fgColor rgb="FFD9D2E9"/>
        <bgColor rgb="FFD9D9D9"/>
      </patternFill>
    </fill>
    <fill>
      <patternFill patternType="solid">
        <fgColor rgb="FFD0E0E3"/>
        <bgColor rgb="FFCFE2F3"/>
      </patternFill>
    </fill>
    <fill>
      <patternFill patternType="solid">
        <fgColor rgb="FFF4CCCC"/>
        <bgColor rgb="FFEAD1DC"/>
      </patternFill>
    </fill>
    <fill>
      <patternFill patternType="solid">
        <fgColor rgb="FFD9EAD3"/>
        <bgColor rgb="FFE2EFDA"/>
      </patternFill>
    </fill>
    <fill>
      <patternFill patternType="solid">
        <fgColor rgb="FFCFE2F3"/>
        <bgColor rgb="FFD0E0E3"/>
      </patternFill>
    </fill>
    <fill>
      <patternFill patternType="solid">
        <fgColor rgb="FFFFE599"/>
        <bgColor rgb="FFFFF2CC"/>
      </patternFill>
    </fill>
    <fill>
      <patternFill patternType="solid">
        <fgColor rgb="FFC9DAF8"/>
        <bgColor rgb="FFCFE2F3"/>
      </patternFill>
    </fill>
    <fill>
      <patternFill patternType="solid">
        <fgColor rgb="FFF9CB9C"/>
        <bgColor rgb="FFF4CCCC"/>
      </patternFill>
    </fill>
    <fill>
      <patternFill patternType="solid">
        <fgColor rgb="FFB6D7A8"/>
        <bgColor rgb="FFBFBFBF"/>
      </patternFill>
    </fill>
    <fill>
      <patternFill patternType="solid">
        <fgColor rgb="FFD9D9D9"/>
        <bgColor rgb="FFD9D2E9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F4E78"/>
          <bgColor rgb="FF000000"/>
        </patternFill>
      </fill>
    </dxf>
    <dxf>
      <fill>
        <patternFill patternType="solid">
          <fgColor rgb="FFB6D7A8"/>
          <bgColor rgb="FF000000"/>
        </patternFill>
      </fill>
    </dxf>
    <dxf>
      <fill>
        <patternFill patternType="solid">
          <fgColor rgb="FFC9DAF8"/>
          <bgColor rgb="FF000000"/>
        </patternFill>
      </fill>
    </dxf>
    <dxf>
      <fill>
        <patternFill patternType="solid">
          <fgColor rgb="FFCFE2F3"/>
          <bgColor rgb="FF000000"/>
        </patternFill>
      </fill>
    </dxf>
    <dxf>
      <fill>
        <patternFill patternType="solid">
          <fgColor rgb="FFD0E0E3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9CB9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59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D9D9D9"/>
      <rgbColor rgb="FF993366"/>
      <rgbColor rgb="FFFFF2CC"/>
      <rgbColor rgb="FFE2EFDA"/>
      <rgbColor rgb="FF660066"/>
      <rgbColor rgb="FFFF8080"/>
      <rgbColor rgb="FF0066CC"/>
      <rgbColor rgb="FFC9DAF8"/>
      <rgbColor rgb="FF000080"/>
      <rgbColor rgb="FFFF00FF"/>
      <rgbColor rgb="FFCFE2F3"/>
      <rgbColor rgb="FF00FFFF"/>
      <rgbColor rgb="FF800080"/>
      <rgbColor rgb="FF800000"/>
      <rgbColor rgb="FF008080"/>
      <rgbColor rgb="FF0000FF"/>
      <rgbColor rgb="FF00CCFF"/>
      <rgbColor rgb="FFDCE6F1"/>
      <rgbColor rgb="FFD9EAD3"/>
      <rgbColor rgb="FFFFE599"/>
      <rgbColor rgb="FFB6D7A8"/>
      <rgbColor rgb="FFF4CCCC"/>
      <rgbColor rgb="FFD9D2E9"/>
      <rgbColor rgb="FFF9CB9C"/>
      <rgbColor rgb="FF3366FF"/>
      <rgbColor rgb="FF33CCCC"/>
      <rgbColor rgb="FFD0E0E3"/>
      <rgbColor rgb="FFFCE4D6"/>
      <rgbColor rgb="FFFF9900"/>
      <rgbColor rgb="FFFF6600"/>
      <rgbColor rgb="FF555555"/>
      <rgbColor rgb="FFEAD1DC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1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B13" activeCellId="0" sqref="B13"/>
    </sheetView>
  </sheetViews>
  <sheetFormatPr defaultColWidth="8.5625" defaultRowHeight="14.2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9" min="3" style="0" width="16"/>
  </cols>
  <sheetData>
    <row r="2" customFormat="false" ht="21" hidden="false" customHeight="true" outlineLevel="0" collapsed="false">
      <c r="B2" s="1" t="s">
        <v>0</v>
      </c>
    </row>
    <row r="3" customFormat="false" ht="15" hidden="false" customHeight="true" outlineLevel="0" collapsed="false">
      <c r="B3" s="2" t="s">
        <v>1</v>
      </c>
    </row>
    <row r="6" customFormat="false" ht="14.25" hidden="false" customHeight="false" outlineLevel="0" collapsed="false">
      <c r="B6" s="3" t="s">
        <v>2</v>
      </c>
    </row>
    <row r="7" customFormat="false" ht="45" hidden="false" customHeight="true" outlineLevel="0" collapsed="false">
      <c r="B7" s="4" t="s">
        <v>3</v>
      </c>
      <c r="C7" s="4"/>
      <c r="D7" s="4"/>
      <c r="E7" s="4"/>
      <c r="F7" s="4"/>
      <c r="G7" s="4"/>
      <c r="H7" s="4"/>
    </row>
    <row r="9" customFormat="false" ht="14.25" hidden="false" customHeight="false" outlineLevel="0" collapsed="false">
      <c r="B9" s="3" t="s">
        <v>4</v>
      </c>
    </row>
    <row r="10" customFormat="false" ht="45" hidden="false" customHeight="true" outlineLevel="0" collapsed="false">
      <c r="B10" s="4" t="s">
        <v>5</v>
      </c>
      <c r="C10" s="4"/>
      <c r="D10" s="4"/>
      <c r="E10" s="4"/>
      <c r="F10" s="4"/>
      <c r="G10" s="4"/>
      <c r="H10" s="4"/>
    </row>
    <row r="12" customFormat="false" ht="14.25" hidden="false" customHeight="false" outlineLevel="0" collapsed="false">
      <c r="B12" s="3" t="s">
        <v>6</v>
      </c>
    </row>
    <row r="13" customFormat="false" ht="45" hidden="false" customHeight="true" outlineLevel="0" collapsed="false">
      <c r="B13" s="4" t="s">
        <v>7</v>
      </c>
      <c r="C13" s="4"/>
      <c r="D13" s="4"/>
      <c r="E13" s="4"/>
      <c r="F13" s="4"/>
      <c r="G13" s="4"/>
      <c r="H13" s="4"/>
    </row>
    <row r="15" customFormat="false" ht="14.25" hidden="false" customHeight="false" outlineLevel="0" collapsed="false">
      <c r="B15" s="3" t="s">
        <v>8</v>
      </c>
    </row>
    <row r="16" customFormat="false" ht="45" hidden="false" customHeight="true" outlineLevel="0" collapsed="false">
      <c r="B16" s="4" t="s">
        <v>9</v>
      </c>
      <c r="C16" s="4"/>
      <c r="D16" s="4"/>
      <c r="E16" s="4"/>
      <c r="F16" s="4"/>
      <c r="G16" s="4"/>
      <c r="H16" s="4"/>
    </row>
    <row r="19" customFormat="false" ht="14.25" hidden="false" customHeight="false" outlineLevel="0" collapsed="false">
      <c r="B19" s="3" t="s">
        <v>10</v>
      </c>
    </row>
    <row r="20" customFormat="false" ht="30" hidden="false" customHeight="true" outlineLevel="0" collapsed="false">
      <c r="B20" s="5" t="s">
        <v>11</v>
      </c>
      <c r="C20" s="5" t="s">
        <v>12</v>
      </c>
      <c r="D20" s="5" t="s">
        <v>13</v>
      </c>
      <c r="E20" s="5" t="s">
        <v>14</v>
      </c>
      <c r="F20" s="5" t="s">
        <v>15</v>
      </c>
      <c r="G20" s="5" t="s">
        <v>16</v>
      </c>
      <c r="H20" s="5" t="s">
        <v>17</v>
      </c>
      <c r="I20" s="5" t="s">
        <v>18</v>
      </c>
      <c r="J20" s="5" t="s">
        <v>19</v>
      </c>
    </row>
    <row r="21" customFormat="false" ht="30" hidden="false" customHeight="true" outlineLevel="0" collapsed="false">
      <c r="B21" s="6" t="s">
        <v>20</v>
      </c>
      <c r="C21" s="6"/>
      <c r="D21" s="6" t="s">
        <v>21</v>
      </c>
      <c r="E21" s="6" t="s">
        <v>22</v>
      </c>
      <c r="F21" s="6" t="s">
        <v>23</v>
      </c>
      <c r="G21" s="6" t="s">
        <v>23</v>
      </c>
      <c r="H21" s="6" t="s">
        <v>24</v>
      </c>
      <c r="I21" s="6" t="s">
        <v>25</v>
      </c>
      <c r="J21" s="6" t="s">
        <v>26</v>
      </c>
    </row>
  </sheetData>
  <mergeCells count="4">
    <mergeCell ref="B7:H7"/>
    <mergeCell ref="B10:H10"/>
    <mergeCell ref="B13:H13"/>
    <mergeCell ref="B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16" activeCellId="0" sqref="F116"/>
    </sheetView>
  </sheetViews>
  <sheetFormatPr defaultColWidth="8.5625" defaultRowHeight="14.2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6" min="5" style="0" width="2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40"/>
  </cols>
  <sheetData>
    <row r="1" customFormat="false" ht="27" hidden="false" customHeight="true" outlineLevel="0" collapsed="false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19</v>
      </c>
    </row>
    <row r="2" customFormat="false" ht="14.25" hidden="false" customHeight="false" outlineLevel="0" collapsed="false">
      <c r="A2" s="8" t="s">
        <v>20</v>
      </c>
      <c r="B2" s="8"/>
      <c r="C2" s="9" t="s">
        <v>21</v>
      </c>
      <c r="D2" s="10" t="s">
        <v>22</v>
      </c>
      <c r="E2" s="10" t="s">
        <v>23</v>
      </c>
      <c r="F2" s="10" t="s">
        <v>23</v>
      </c>
      <c r="G2" s="10"/>
      <c r="H2" s="10" t="s">
        <v>27</v>
      </c>
      <c r="I2" s="9"/>
    </row>
    <row r="3" customFormat="false" ht="78.75" hidden="false" customHeight="true" outlineLevel="0" collapsed="false">
      <c r="A3" s="8" t="s">
        <v>20</v>
      </c>
      <c r="B3" s="8"/>
      <c r="C3" s="9" t="s">
        <v>28</v>
      </c>
      <c r="D3" s="10" t="s">
        <v>29</v>
      </c>
      <c r="E3" s="10" t="s">
        <v>30</v>
      </c>
      <c r="F3" s="10" t="s">
        <v>23</v>
      </c>
      <c r="G3" s="10"/>
      <c r="H3" s="10"/>
      <c r="I3" s="9" t="s">
        <v>31</v>
      </c>
    </row>
    <row r="4" customFormat="false" ht="14.25" hidden="false" customHeight="false" outlineLevel="0" collapsed="false">
      <c r="A4" s="8" t="s">
        <v>20</v>
      </c>
      <c r="B4" s="8"/>
      <c r="C4" s="9" t="s">
        <v>32</v>
      </c>
      <c r="D4" s="10" t="s">
        <v>33</v>
      </c>
      <c r="E4" s="10" t="s">
        <v>23</v>
      </c>
      <c r="F4" s="10" t="s">
        <v>23</v>
      </c>
      <c r="G4" s="10"/>
      <c r="H4" s="10"/>
      <c r="I4" s="9"/>
    </row>
    <row r="5" customFormat="false" ht="39" hidden="false" customHeight="true" outlineLevel="0" collapsed="false">
      <c r="A5" s="8" t="s">
        <v>20</v>
      </c>
      <c r="B5" s="8"/>
      <c r="C5" s="9" t="s">
        <v>34</v>
      </c>
      <c r="D5" s="10" t="s">
        <v>35</v>
      </c>
      <c r="E5" s="10" t="s">
        <v>36</v>
      </c>
      <c r="F5" s="10" t="s">
        <v>23</v>
      </c>
      <c r="G5" s="10"/>
      <c r="H5" s="10"/>
      <c r="I5" s="9" t="s">
        <v>37</v>
      </c>
    </row>
    <row r="6" customFormat="false" ht="52.5" hidden="false" customHeight="true" outlineLevel="0" collapsed="false">
      <c r="A6" s="8" t="s">
        <v>20</v>
      </c>
      <c r="B6" s="8"/>
      <c r="C6" s="9" t="s">
        <v>38</v>
      </c>
      <c r="D6" s="10" t="s">
        <v>39</v>
      </c>
      <c r="E6" s="10" t="s">
        <v>36</v>
      </c>
      <c r="F6" s="10" t="s">
        <v>23</v>
      </c>
      <c r="G6" s="10"/>
      <c r="H6" s="10"/>
      <c r="I6" s="9" t="s">
        <v>40</v>
      </c>
    </row>
    <row r="7" customFormat="false" ht="14.25" hidden="false" customHeight="false" outlineLevel="0" collapsed="false">
      <c r="A7" s="11" t="s">
        <v>41</v>
      </c>
      <c r="B7" s="11"/>
      <c r="C7" s="9" t="s">
        <v>42</v>
      </c>
      <c r="D7" s="10" t="s">
        <v>43</v>
      </c>
      <c r="E7" s="10" t="s">
        <v>23</v>
      </c>
      <c r="F7" s="10" t="s">
        <v>23</v>
      </c>
      <c r="G7" s="10"/>
      <c r="H7" s="10"/>
      <c r="I7" s="9"/>
    </row>
    <row r="8" customFormat="false" ht="14.25" hidden="false" customHeight="false" outlineLevel="0" collapsed="false">
      <c r="A8" s="11" t="s">
        <v>41</v>
      </c>
      <c r="B8" s="11"/>
      <c r="C8" s="9" t="s">
        <v>44</v>
      </c>
      <c r="D8" s="10" t="s">
        <v>45</v>
      </c>
      <c r="E8" s="10" t="s">
        <v>23</v>
      </c>
      <c r="F8" s="10" t="s">
        <v>23</v>
      </c>
      <c r="G8" s="10"/>
      <c r="H8" s="10"/>
      <c r="I8" s="9"/>
    </row>
    <row r="9" customFormat="false" ht="14.25" hidden="false" customHeight="false" outlineLevel="0" collapsed="false">
      <c r="A9" s="11" t="s">
        <v>41</v>
      </c>
      <c r="B9" s="11"/>
      <c r="C9" s="9" t="s">
        <v>46</v>
      </c>
      <c r="D9" s="10" t="s">
        <v>47</v>
      </c>
      <c r="E9" s="10" t="s">
        <v>23</v>
      </c>
      <c r="F9" s="10" t="s">
        <v>23</v>
      </c>
      <c r="G9" s="10"/>
      <c r="H9" s="10"/>
      <c r="I9" s="9"/>
    </row>
    <row r="10" customFormat="false" ht="14.25" hidden="false" customHeight="false" outlineLevel="0" collapsed="false">
      <c r="A10" s="11" t="s">
        <v>41</v>
      </c>
      <c r="B10" s="11"/>
      <c r="C10" s="9" t="s">
        <v>48</v>
      </c>
      <c r="D10" s="10" t="s">
        <v>49</v>
      </c>
      <c r="E10" s="10" t="s">
        <v>23</v>
      </c>
      <c r="F10" s="10" t="s">
        <v>23</v>
      </c>
      <c r="G10" s="10"/>
      <c r="H10" s="10"/>
      <c r="I10" s="9"/>
    </row>
    <row r="11" customFormat="false" ht="14.25" hidden="false" customHeight="false" outlineLevel="0" collapsed="false">
      <c r="A11" s="11" t="s">
        <v>41</v>
      </c>
      <c r="B11" s="11"/>
      <c r="C11" s="9" t="s">
        <v>50</v>
      </c>
      <c r="D11" s="10" t="s">
        <v>51</v>
      </c>
      <c r="E11" s="10" t="s">
        <v>23</v>
      </c>
      <c r="F11" s="10" t="s">
        <v>23</v>
      </c>
      <c r="G11" s="10"/>
      <c r="H11" s="10"/>
      <c r="I11" s="9"/>
    </row>
    <row r="12" customFormat="false" ht="14.25" hidden="false" customHeight="false" outlineLevel="0" collapsed="false">
      <c r="A12" s="12" t="s">
        <v>52</v>
      </c>
      <c r="B12" s="12"/>
      <c r="C12" s="9" t="s">
        <v>53</v>
      </c>
      <c r="D12" s="10" t="s">
        <v>54</v>
      </c>
      <c r="E12" s="10" t="s">
        <v>23</v>
      </c>
      <c r="F12" s="10" t="s">
        <v>23</v>
      </c>
      <c r="G12" s="10"/>
      <c r="H12" s="10"/>
      <c r="I12" s="9"/>
    </row>
    <row r="13" customFormat="false" ht="14.25" hidden="false" customHeight="false" outlineLevel="0" collapsed="false">
      <c r="A13" s="12" t="s">
        <v>52</v>
      </c>
      <c r="B13" s="12"/>
      <c r="C13" s="9" t="s">
        <v>55</v>
      </c>
      <c r="D13" s="10" t="s">
        <v>56</v>
      </c>
      <c r="E13" s="10" t="s">
        <v>23</v>
      </c>
      <c r="F13" s="10" t="s">
        <v>23</v>
      </c>
      <c r="G13" s="10"/>
      <c r="H13" s="10"/>
      <c r="I13" s="9"/>
    </row>
    <row r="14" customFormat="false" ht="14.25" hidden="false" customHeight="false" outlineLevel="0" collapsed="false">
      <c r="A14" s="12" t="s">
        <v>52</v>
      </c>
      <c r="B14" s="12"/>
      <c r="C14" s="9" t="s">
        <v>57</v>
      </c>
      <c r="D14" s="10" t="s">
        <v>58</v>
      </c>
      <c r="E14" s="10" t="s">
        <v>23</v>
      </c>
      <c r="F14" s="10" t="s">
        <v>23</v>
      </c>
      <c r="G14" s="10"/>
      <c r="H14" s="10"/>
      <c r="I14" s="9"/>
    </row>
    <row r="15" customFormat="false" ht="14.25" hidden="false" customHeight="false" outlineLevel="0" collapsed="false">
      <c r="A15" s="12" t="s">
        <v>52</v>
      </c>
      <c r="B15" s="12"/>
      <c r="C15" s="9" t="s">
        <v>59</v>
      </c>
      <c r="D15" s="10" t="s">
        <v>60</v>
      </c>
      <c r="E15" s="10" t="s">
        <v>23</v>
      </c>
      <c r="F15" s="10" t="s">
        <v>23</v>
      </c>
      <c r="G15" s="10"/>
      <c r="H15" s="10"/>
      <c r="I15" s="9"/>
    </row>
    <row r="16" customFormat="false" ht="14.25" hidden="false" customHeight="false" outlineLevel="0" collapsed="false">
      <c r="A16" s="12" t="s">
        <v>52</v>
      </c>
      <c r="B16" s="12"/>
      <c r="C16" s="9" t="s">
        <v>61</v>
      </c>
      <c r="D16" s="10" t="s">
        <v>62</v>
      </c>
      <c r="E16" s="10" t="s">
        <v>23</v>
      </c>
      <c r="F16" s="10" t="s">
        <v>23</v>
      </c>
      <c r="G16" s="10"/>
      <c r="H16" s="10"/>
      <c r="I16" s="9"/>
    </row>
    <row r="17" customFormat="false" ht="66" hidden="false" customHeight="true" outlineLevel="0" collapsed="false">
      <c r="A17" s="12" t="s">
        <v>52</v>
      </c>
      <c r="B17" s="12"/>
      <c r="C17" s="9" t="s">
        <v>63</v>
      </c>
      <c r="D17" s="10" t="s">
        <v>64</v>
      </c>
      <c r="E17" s="10" t="s">
        <v>36</v>
      </c>
      <c r="F17" s="10" t="s">
        <v>36</v>
      </c>
      <c r="G17" s="10"/>
      <c r="H17" s="10"/>
      <c r="I17" s="9" t="s">
        <v>65</v>
      </c>
    </row>
    <row r="18" customFormat="false" ht="14.25" hidden="false" customHeight="false" outlineLevel="0" collapsed="false">
      <c r="A18" s="12" t="s">
        <v>52</v>
      </c>
      <c r="B18" s="12"/>
      <c r="C18" s="9" t="s">
        <v>66</v>
      </c>
      <c r="D18" s="10" t="s">
        <v>67</v>
      </c>
      <c r="E18" s="10" t="s">
        <v>23</v>
      </c>
      <c r="F18" s="10" t="s">
        <v>23</v>
      </c>
      <c r="G18" s="10"/>
      <c r="H18" s="10"/>
      <c r="I18" s="9"/>
    </row>
    <row r="19" customFormat="false" ht="14.25" hidden="false" customHeight="false" outlineLevel="0" collapsed="false">
      <c r="A19" s="13" t="s">
        <v>68</v>
      </c>
      <c r="B19" s="13"/>
      <c r="C19" s="9" t="s">
        <v>69</v>
      </c>
      <c r="D19" s="10" t="s">
        <v>70</v>
      </c>
      <c r="E19" s="10" t="s">
        <v>36</v>
      </c>
      <c r="F19" s="10" t="s">
        <v>36</v>
      </c>
      <c r="G19" s="10"/>
      <c r="H19" s="10"/>
      <c r="I19" s="9"/>
    </row>
    <row r="20" customFormat="false" ht="14.25" hidden="false" customHeight="false" outlineLevel="0" collapsed="false">
      <c r="A20" s="13" t="s">
        <v>68</v>
      </c>
      <c r="B20" s="13"/>
      <c r="C20" s="9" t="s">
        <v>71</v>
      </c>
      <c r="D20" s="10" t="s">
        <v>72</v>
      </c>
      <c r="E20" s="10" t="s">
        <v>36</v>
      </c>
      <c r="F20" s="10" t="s">
        <v>36</v>
      </c>
      <c r="G20" s="10"/>
      <c r="H20" s="10"/>
      <c r="I20" s="9"/>
    </row>
    <row r="21" customFormat="false" ht="52.5" hidden="false" customHeight="true" outlineLevel="0" collapsed="false">
      <c r="A21" s="13" t="s">
        <v>68</v>
      </c>
      <c r="B21" s="13"/>
      <c r="C21" s="9" t="s">
        <v>73</v>
      </c>
      <c r="D21" s="10" t="s">
        <v>74</v>
      </c>
      <c r="E21" s="10" t="s">
        <v>36</v>
      </c>
      <c r="F21" s="10" t="s">
        <v>36</v>
      </c>
      <c r="G21" s="10"/>
      <c r="H21" s="10"/>
      <c r="I21" s="9" t="s">
        <v>75</v>
      </c>
    </row>
    <row r="22" customFormat="false" ht="14.25" hidden="false" customHeight="false" outlineLevel="0" collapsed="false">
      <c r="A22" s="13" t="s">
        <v>68</v>
      </c>
      <c r="B22" s="13"/>
      <c r="C22" s="9" t="s">
        <v>76</v>
      </c>
      <c r="D22" s="10" t="s">
        <v>77</v>
      </c>
      <c r="E22" s="10" t="s">
        <v>36</v>
      </c>
      <c r="F22" s="10" t="s">
        <v>36</v>
      </c>
      <c r="G22" s="10"/>
      <c r="H22" s="10"/>
      <c r="I22" s="9"/>
    </row>
    <row r="23" customFormat="false" ht="14.25" hidden="false" customHeight="false" outlineLevel="0" collapsed="false">
      <c r="A23" s="13" t="s">
        <v>68</v>
      </c>
      <c r="B23" s="13"/>
      <c r="C23" s="9" t="s">
        <v>78</v>
      </c>
      <c r="D23" s="10" t="s">
        <v>79</v>
      </c>
      <c r="E23" s="10" t="s">
        <v>36</v>
      </c>
      <c r="F23" s="10" t="s">
        <v>36</v>
      </c>
      <c r="G23" s="10"/>
      <c r="H23" s="10"/>
      <c r="I23" s="9"/>
    </row>
    <row r="24" customFormat="false" ht="14.25" hidden="false" customHeight="false" outlineLevel="0" collapsed="false">
      <c r="A24" s="13" t="s">
        <v>68</v>
      </c>
      <c r="B24" s="13"/>
      <c r="C24" s="9" t="s">
        <v>80</v>
      </c>
      <c r="D24" s="10" t="s">
        <v>81</v>
      </c>
      <c r="E24" s="10" t="s">
        <v>36</v>
      </c>
      <c r="F24" s="10" t="s">
        <v>36</v>
      </c>
      <c r="G24" s="10"/>
      <c r="H24" s="10"/>
      <c r="I24" s="9"/>
    </row>
    <row r="25" customFormat="false" ht="39" hidden="false" customHeight="true" outlineLevel="0" collapsed="false">
      <c r="A25" s="13" t="s">
        <v>68</v>
      </c>
      <c r="B25" s="13"/>
      <c r="C25" s="9" t="s">
        <v>82</v>
      </c>
      <c r="D25" s="10" t="s">
        <v>83</v>
      </c>
      <c r="E25" s="10" t="s">
        <v>36</v>
      </c>
      <c r="F25" s="10" t="s">
        <v>36</v>
      </c>
      <c r="G25" s="10"/>
      <c r="H25" s="10"/>
      <c r="I25" s="9" t="s">
        <v>84</v>
      </c>
    </row>
    <row r="26" customFormat="false" ht="14.25" hidden="false" customHeight="false" outlineLevel="0" collapsed="false">
      <c r="A26" s="13" t="s">
        <v>68</v>
      </c>
      <c r="B26" s="13"/>
      <c r="C26" s="9" t="s">
        <v>85</v>
      </c>
      <c r="D26" s="10" t="s">
        <v>86</v>
      </c>
      <c r="E26" s="10" t="s">
        <v>36</v>
      </c>
      <c r="F26" s="10" t="s">
        <v>36</v>
      </c>
      <c r="G26" s="10"/>
      <c r="H26" s="10"/>
      <c r="I26" s="9"/>
    </row>
    <row r="27" customFormat="false" ht="14.25" hidden="false" customHeight="false" outlineLevel="0" collapsed="false">
      <c r="A27" s="13" t="s">
        <v>68</v>
      </c>
      <c r="B27" s="13"/>
      <c r="C27" s="9" t="s">
        <v>87</v>
      </c>
      <c r="D27" s="10" t="s">
        <v>88</v>
      </c>
      <c r="E27" s="10" t="s">
        <v>36</v>
      </c>
      <c r="F27" s="10" t="s">
        <v>36</v>
      </c>
      <c r="G27" s="10"/>
      <c r="H27" s="10"/>
      <c r="I27" s="9"/>
    </row>
    <row r="28" customFormat="false" ht="14.25" hidden="false" customHeight="false" outlineLevel="0" collapsed="false">
      <c r="A28" s="13" t="s">
        <v>68</v>
      </c>
      <c r="B28" s="13"/>
      <c r="C28" s="9" t="s">
        <v>89</v>
      </c>
      <c r="D28" s="10" t="s">
        <v>90</v>
      </c>
      <c r="E28" s="10" t="s">
        <v>36</v>
      </c>
      <c r="F28" s="10" t="s">
        <v>36</v>
      </c>
      <c r="G28" s="10"/>
      <c r="H28" s="10"/>
      <c r="I28" s="9"/>
    </row>
    <row r="29" customFormat="false" ht="14.25" hidden="false" customHeight="false" outlineLevel="0" collapsed="false">
      <c r="A29" s="13" t="s">
        <v>68</v>
      </c>
      <c r="B29" s="13"/>
      <c r="C29" s="9" t="s">
        <v>91</v>
      </c>
      <c r="D29" s="10" t="s">
        <v>92</v>
      </c>
      <c r="E29" s="10" t="s">
        <v>36</v>
      </c>
      <c r="F29" s="10" t="s">
        <v>36</v>
      </c>
      <c r="G29" s="10"/>
      <c r="H29" s="10"/>
      <c r="I29" s="9"/>
    </row>
    <row r="30" customFormat="false" ht="14.25" hidden="false" customHeight="false" outlineLevel="0" collapsed="false">
      <c r="A30" s="13" t="s">
        <v>68</v>
      </c>
      <c r="B30" s="13"/>
      <c r="C30" s="9" t="s">
        <v>93</v>
      </c>
      <c r="D30" s="10" t="s">
        <v>94</v>
      </c>
      <c r="E30" s="10" t="s">
        <v>36</v>
      </c>
      <c r="F30" s="10" t="s">
        <v>36</v>
      </c>
      <c r="G30" s="10"/>
      <c r="H30" s="10"/>
      <c r="I30" s="9"/>
    </row>
    <row r="31" customFormat="false" ht="14.25" hidden="false" customHeight="false" outlineLevel="0" collapsed="false">
      <c r="A31" s="13" t="s">
        <v>68</v>
      </c>
      <c r="B31" s="13"/>
      <c r="C31" s="9" t="s">
        <v>95</v>
      </c>
      <c r="D31" s="10" t="s">
        <v>96</v>
      </c>
      <c r="E31" s="10" t="s">
        <v>36</v>
      </c>
      <c r="F31" s="10" t="s">
        <v>36</v>
      </c>
      <c r="G31" s="10"/>
      <c r="H31" s="10"/>
      <c r="I31" s="9"/>
    </row>
    <row r="32" customFormat="false" ht="14.25" hidden="false" customHeight="false" outlineLevel="0" collapsed="false">
      <c r="A32" s="13" t="s">
        <v>68</v>
      </c>
      <c r="B32" s="13"/>
      <c r="C32" s="9" t="s">
        <v>97</v>
      </c>
      <c r="D32" s="10" t="s">
        <v>98</v>
      </c>
      <c r="E32" s="10" t="s">
        <v>36</v>
      </c>
      <c r="F32" s="10" t="s">
        <v>36</v>
      </c>
      <c r="G32" s="10"/>
      <c r="H32" s="10"/>
      <c r="I32" s="9"/>
    </row>
    <row r="33" customFormat="false" ht="14.25" hidden="false" customHeight="false" outlineLevel="0" collapsed="false">
      <c r="A33" s="13" t="s">
        <v>68</v>
      </c>
      <c r="B33" s="13"/>
      <c r="C33" s="9" t="s">
        <v>99</v>
      </c>
      <c r="D33" s="10" t="s">
        <v>100</v>
      </c>
      <c r="E33" s="10" t="s">
        <v>36</v>
      </c>
      <c r="F33" s="10" t="s">
        <v>36</v>
      </c>
      <c r="G33" s="10"/>
      <c r="H33" s="10"/>
      <c r="I33" s="9"/>
    </row>
    <row r="34" customFormat="false" ht="14.25" hidden="false" customHeight="false" outlineLevel="0" collapsed="false">
      <c r="A34" s="13" t="s">
        <v>68</v>
      </c>
      <c r="B34" s="13"/>
      <c r="C34" s="9" t="s">
        <v>101</v>
      </c>
      <c r="D34" s="10" t="s">
        <v>102</v>
      </c>
      <c r="E34" s="10" t="s">
        <v>36</v>
      </c>
      <c r="F34" s="10" t="s">
        <v>36</v>
      </c>
      <c r="G34" s="10"/>
      <c r="H34" s="10"/>
      <c r="I34" s="9"/>
    </row>
    <row r="35" customFormat="false" ht="14.25" hidden="false" customHeight="false" outlineLevel="0" collapsed="false">
      <c r="A35" s="13" t="s">
        <v>68</v>
      </c>
      <c r="B35" s="13"/>
      <c r="C35" s="9" t="s">
        <v>103</v>
      </c>
      <c r="D35" s="10" t="s">
        <v>104</v>
      </c>
      <c r="E35" s="10" t="s">
        <v>36</v>
      </c>
      <c r="F35" s="10" t="s">
        <v>36</v>
      </c>
      <c r="G35" s="10"/>
      <c r="H35" s="10"/>
      <c r="I35" s="9"/>
    </row>
    <row r="36" customFormat="false" ht="14.25" hidden="false" customHeight="false" outlineLevel="0" collapsed="false">
      <c r="A36" s="13" t="s">
        <v>68</v>
      </c>
      <c r="B36" s="13"/>
      <c r="C36" s="9" t="s">
        <v>105</v>
      </c>
      <c r="D36" s="10" t="s">
        <v>106</v>
      </c>
      <c r="E36" s="10" t="s">
        <v>36</v>
      </c>
      <c r="F36" s="10" t="s">
        <v>36</v>
      </c>
      <c r="G36" s="10"/>
      <c r="H36" s="10"/>
      <c r="I36" s="9"/>
    </row>
    <row r="37" customFormat="false" ht="14.25" hidden="false" customHeight="false" outlineLevel="0" collapsed="false">
      <c r="A37" s="14" t="s">
        <v>107</v>
      </c>
      <c r="B37" s="14"/>
      <c r="C37" s="9" t="s">
        <v>108</v>
      </c>
      <c r="D37" s="10" t="s">
        <v>109</v>
      </c>
      <c r="E37" s="10" t="s">
        <v>36</v>
      </c>
      <c r="F37" s="10" t="s">
        <v>36</v>
      </c>
      <c r="G37" s="10"/>
      <c r="H37" s="10"/>
      <c r="I37" s="9"/>
    </row>
    <row r="38" customFormat="false" ht="14.25" hidden="false" customHeight="false" outlineLevel="0" collapsed="false">
      <c r="A38" s="14" t="s">
        <v>107</v>
      </c>
      <c r="B38" s="14"/>
      <c r="C38" s="9" t="s">
        <v>110</v>
      </c>
      <c r="D38" s="10" t="s">
        <v>111</v>
      </c>
      <c r="E38" s="10" t="s">
        <v>36</v>
      </c>
      <c r="F38" s="10" t="s">
        <v>36</v>
      </c>
      <c r="G38" s="10"/>
      <c r="H38" s="10"/>
      <c r="I38" s="9"/>
    </row>
    <row r="39" customFormat="false" ht="14.25" hidden="false" customHeight="false" outlineLevel="0" collapsed="false">
      <c r="A39" s="14" t="s">
        <v>107</v>
      </c>
      <c r="B39" s="14"/>
      <c r="C39" s="9" t="s">
        <v>112</v>
      </c>
      <c r="D39" s="10" t="s">
        <v>113</v>
      </c>
      <c r="E39" s="10" t="s">
        <v>36</v>
      </c>
      <c r="F39" s="10" t="s">
        <v>36</v>
      </c>
      <c r="G39" s="10"/>
      <c r="H39" s="10"/>
      <c r="I39" s="9"/>
    </row>
    <row r="40" customFormat="false" ht="14.25" hidden="false" customHeight="false" outlineLevel="0" collapsed="false">
      <c r="A40" s="14" t="s">
        <v>107</v>
      </c>
      <c r="B40" s="14"/>
      <c r="C40" s="9" t="s">
        <v>114</v>
      </c>
      <c r="D40" s="10" t="s">
        <v>115</v>
      </c>
      <c r="E40" s="10" t="s">
        <v>36</v>
      </c>
      <c r="F40" s="10" t="s">
        <v>36</v>
      </c>
      <c r="G40" s="10"/>
      <c r="H40" s="10"/>
      <c r="I40" s="9"/>
    </row>
    <row r="41" customFormat="false" ht="14.25" hidden="false" customHeight="false" outlineLevel="0" collapsed="false">
      <c r="A41" s="15" t="s">
        <v>116</v>
      </c>
      <c r="B41" s="15" t="s">
        <v>117</v>
      </c>
      <c r="C41" s="9" t="s">
        <v>118</v>
      </c>
      <c r="D41" s="10" t="s">
        <v>119</v>
      </c>
      <c r="E41" s="10" t="s">
        <v>36</v>
      </c>
      <c r="F41" s="10" t="s">
        <v>36</v>
      </c>
      <c r="G41" s="10"/>
      <c r="H41" s="10"/>
      <c r="I41" s="9"/>
    </row>
    <row r="42" customFormat="false" ht="14.25" hidden="false" customHeight="false" outlineLevel="0" collapsed="false">
      <c r="A42" s="15" t="s">
        <v>116</v>
      </c>
      <c r="B42" s="15" t="s">
        <v>117</v>
      </c>
      <c r="C42" s="9" t="s">
        <v>120</v>
      </c>
      <c r="D42" s="10" t="s">
        <v>121</v>
      </c>
      <c r="E42" s="10" t="s">
        <v>36</v>
      </c>
      <c r="F42" s="10" t="s">
        <v>36</v>
      </c>
      <c r="G42" s="10"/>
      <c r="H42" s="10"/>
      <c r="I42" s="9"/>
    </row>
    <row r="43" customFormat="false" ht="14.25" hidden="false" customHeight="false" outlineLevel="0" collapsed="false">
      <c r="A43" s="15" t="s">
        <v>116</v>
      </c>
      <c r="B43" s="15" t="s">
        <v>122</v>
      </c>
      <c r="C43" s="9" t="s">
        <v>123</v>
      </c>
      <c r="D43" s="10" t="s">
        <v>124</v>
      </c>
      <c r="E43" s="10" t="s">
        <v>36</v>
      </c>
      <c r="F43" s="10" t="s">
        <v>36</v>
      </c>
      <c r="G43" s="10"/>
      <c r="H43" s="10"/>
      <c r="I43" s="9"/>
    </row>
    <row r="44" customFormat="false" ht="14.25" hidden="false" customHeight="false" outlineLevel="0" collapsed="false">
      <c r="A44" s="15" t="s">
        <v>116</v>
      </c>
      <c r="B44" s="15" t="s">
        <v>122</v>
      </c>
      <c r="C44" s="9" t="s">
        <v>125</v>
      </c>
      <c r="D44" s="10" t="s">
        <v>126</v>
      </c>
      <c r="E44" s="10" t="s">
        <v>36</v>
      </c>
      <c r="F44" s="10" t="s">
        <v>36</v>
      </c>
      <c r="G44" s="10"/>
      <c r="H44" s="10"/>
      <c r="I44" s="9"/>
    </row>
    <row r="45" customFormat="false" ht="14.25" hidden="false" customHeight="false" outlineLevel="0" collapsed="false">
      <c r="A45" s="15" t="s">
        <v>116</v>
      </c>
      <c r="B45" s="15" t="s">
        <v>122</v>
      </c>
      <c r="C45" s="9" t="s">
        <v>127</v>
      </c>
      <c r="D45" s="10" t="s">
        <v>128</v>
      </c>
      <c r="E45" s="10" t="s">
        <v>36</v>
      </c>
      <c r="F45" s="10" t="s">
        <v>36</v>
      </c>
      <c r="G45" s="10"/>
      <c r="H45" s="10"/>
      <c r="I45" s="9"/>
    </row>
    <row r="46" customFormat="false" ht="14.25" hidden="false" customHeight="false" outlineLevel="0" collapsed="false">
      <c r="A46" s="15" t="s">
        <v>116</v>
      </c>
      <c r="B46" s="15" t="s">
        <v>129</v>
      </c>
      <c r="C46" s="9" t="s">
        <v>130</v>
      </c>
      <c r="D46" s="10" t="s">
        <v>131</v>
      </c>
      <c r="E46" s="10" t="s">
        <v>36</v>
      </c>
      <c r="F46" s="10" t="s">
        <v>36</v>
      </c>
      <c r="G46" s="10"/>
      <c r="H46" s="10"/>
      <c r="I46" s="9"/>
    </row>
    <row r="47" customFormat="false" ht="14.25" hidden="false" customHeight="false" outlineLevel="0" collapsed="false">
      <c r="A47" s="15" t="s">
        <v>116</v>
      </c>
      <c r="B47" s="15" t="s">
        <v>129</v>
      </c>
      <c r="C47" s="9" t="s">
        <v>132</v>
      </c>
      <c r="D47" s="10" t="s">
        <v>133</v>
      </c>
      <c r="E47" s="10" t="s">
        <v>36</v>
      </c>
      <c r="F47" s="10" t="s">
        <v>36</v>
      </c>
      <c r="G47" s="10"/>
      <c r="H47" s="10"/>
      <c r="I47" s="9"/>
    </row>
    <row r="48" customFormat="false" ht="14.25" hidden="false" customHeight="false" outlineLevel="0" collapsed="false">
      <c r="A48" s="15" t="s">
        <v>116</v>
      </c>
      <c r="B48" s="15" t="s">
        <v>134</v>
      </c>
      <c r="C48" s="9" t="s">
        <v>135</v>
      </c>
      <c r="D48" s="10" t="s">
        <v>136</v>
      </c>
      <c r="E48" s="10" t="s">
        <v>36</v>
      </c>
      <c r="F48" s="10" t="s">
        <v>36</v>
      </c>
      <c r="G48" s="10"/>
      <c r="H48" s="10"/>
      <c r="I48" s="9"/>
    </row>
    <row r="49" customFormat="false" ht="14.25" hidden="false" customHeight="false" outlineLevel="0" collapsed="false">
      <c r="A49" s="15" t="s">
        <v>116</v>
      </c>
      <c r="B49" s="15" t="s">
        <v>134</v>
      </c>
      <c r="C49" s="9" t="s">
        <v>137</v>
      </c>
      <c r="D49" s="10" t="s">
        <v>138</v>
      </c>
      <c r="E49" s="10" t="s">
        <v>36</v>
      </c>
      <c r="F49" s="10" t="s">
        <v>36</v>
      </c>
      <c r="G49" s="10"/>
      <c r="H49" s="10"/>
      <c r="I49" s="9"/>
    </row>
    <row r="50" customFormat="false" ht="14.25" hidden="false" customHeight="false" outlineLevel="0" collapsed="false">
      <c r="A50" s="16" t="s">
        <v>139</v>
      </c>
      <c r="B50" s="16"/>
      <c r="C50" s="9" t="s">
        <v>140</v>
      </c>
      <c r="D50" s="10" t="s">
        <v>141</v>
      </c>
      <c r="E50" s="10" t="s">
        <v>36</v>
      </c>
      <c r="F50" s="10" t="s">
        <v>36</v>
      </c>
      <c r="G50" s="10"/>
      <c r="H50" s="10"/>
      <c r="I50" s="9"/>
    </row>
    <row r="51" customFormat="false" ht="26.25" hidden="false" customHeight="true" outlineLevel="0" collapsed="false">
      <c r="A51" s="16" t="s">
        <v>139</v>
      </c>
      <c r="B51" s="16"/>
      <c r="C51" s="9" t="s">
        <v>142</v>
      </c>
      <c r="D51" s="10" t="s">
        <v>143</v>
      </c>
      <c r="E51" s="10" t="s">
        <v>36</v>
      </c>
      <c r="F51" s="10" t="s">
        <v>36</v>
      </c>
      <c r="G51" s="10"/>
      <c r="H51" s="10"/>
      <c r="I51" s="9"/>
    </row>
    <row r="52" customFormat="false" ht="14.25" hidden="false" customHeight="false" outlineLevel="0" collapsed="false">
      <c r="A52" s="16" t="s">
        <v>139</v>
      </c>
      <c r="B52" s="16"/>
      <c r="C52" s="9" t="s">
        <v>144</v>
      </c>
      <c r="D52" s="10" t="s">
        <v>145</v>
      </c>
      <c r="E52" s="10" t="s">
        <v>36</v>
      </c>
      <c r="F52" s="10" t="s">
        <v>36</v>
      </c>
      <c r="G52" s="10"/>
      <c r="H52" s="10"/>
      <c r="I52" s="9"/>
    </row>
    <row r="53" customFormat="false" ht="26.25" hidden="false" customHeight="true" outlineLevel="0" collapsed="false">
      <c r="A53" s="16" t="s">
        <v>139</v>
      </c>
      <c r="B53" s="16"/>
      <c r="C53" s="9" t="s">
        <v>146</v>
      </c>
      <c r="D53" s="10" t="s">
        <v>147</v>
      </c>
      <c r="E53" s="10" t="s">
        <v>36</v>
      </c>
      <c r="F53" s="10" t="s">
        <v>36</v>
      </c>
      <c r="G53" s="10"/>
      <c r="H53" s="10"/>
      <c r="I53" s="9"/>
    </row>
    <row r="54" customFormat="false" ht="26.25" hidden="false" customHeight="true" outlineLevel="0" collapsed="false">
      <c r="A54" s="16" t="s">
        <v>139</v>
      </c>
      <c r="B54" s="16"/>
      <c r="C54" s="9" t="s">
        <v>148</v>
      </c>
      <c r="D54" s="10" t="s">
        <v>149</v>
      </c>
      <c r="E54" s="10" t="s">
        <v>36</v>
      </c>
      <c r="F54" s="10" t="s">
        <v>36</v>
      </c>
      <c r="G54" s="10"/>
      <c r="H54" s="10"/>
      <c r="I54" s="9"/>
    </row>
    <row r="55" customFormat="false" ht="26.25" hidden="false" customHeight="true" outlineLevel="0" collapsed="false">
      <c r="A55" s="16" t="s">
        <v>139</v>
      </c>
      <c r="B55" s="16"/>
      <c r="C55" s="9" t="s">
        <v>150</v>
      </c>
      <c r="D55" s="10" t="s">
        <v>151</v>
      </c>
      <c r="E55" s="10" t="s">
        <v>36</v>
      </c>
      <c r="F55" s="10" t="s">
        <v>36</v>
      </c>
      <c r="G55" s="10"/>
      <c r="H55" s="10"/>
      <c r="I55" s="9"/>
    </row>
    <row r="56" customFormat="false" ht="26.25" hidden="false" customHeight="true" outlineLevel="0" collapsed="false">
      <c r="A56" s="21" t="s">
        <v>282</v>
      </c>
      <c r="B56" s="21" t="s">
        <v>283</v>
      </c>
      <c r="C56" s="9" t="s">
        <v>284</v>
      </c>
      <c r="D56" s="10" t="s">
        <v>285</v>
      </c>
      <c r="E56" s="10" t="s">
        <v>36</v>
      </c>
      <c r="F56" s="10" t="s">
        <v>36</v>
      </c>
      <c r="G56" s="10"/>
      <c r="H56" s="10"/>
      <c r="I56" s="9"/>
    </row>
    <row r="57" customFormat="false" ht="26.25" hidden="false" customHeight="true" outlineLevel="0" collapsed="false">
      <c r="A57" s="21" t="s">
        <v>282</v>
      </c>
      <c r="B57" s="21" t="s">
        <v>283</v>
      </c>
      <c r="C57" s="9" t="s">
        <v>286</v>
      </c>
      <c r="D57" s="10" t="s">
        <v>287</v>
      </c>
      <c r="E57" s="10" t="s">
        <v>36</v>
      </c>
      <c r="F57" s="10" t="s">
        <v>36</v>
      </c>
      <c r="G57" s="10"/>
      <c r="H57" s="10"/>
      <c r="I57" s="9"/>
    </row>
    <row r="58" customFormat="false" ht="26.25" hidden="false" customHeight="true" outlineLevel="0" collapsed="false">
      <c r="A58" s="21" t="s">
        <v>282</v>
      </c>
      <c r="B58" s="21" t="s">
        <v>288</v>
      </c>
      <c r="C58" s="9" t="s">
        <v>289</v>
      </c>
      <c r="D58" s="10" t="s">
        <v>290</v>
      </c>
      <c r="E58" s="10" t="s">
        <v>36</v>
      </c>
      <c r="F58" s="10" t="s">
        <v>36</v>
      </c>
      <c r="G58" s="10"/>
      <c r="H58" s="10"/>
      <c r="I58" s="9"/>
    </row>
    <row r="59" customFormat="false" ht="14.25" hidden="false" customHeight="false" outlineLevel="0" collapsed="false">
      <c r="A59" s="21" t="s">
        <v>282</v>
      </c>
      <c r="B59" s="21" t="s">
        <v>288</v>
      </c>
      <c r="C59" s="9" t="s">
        <v>291</v>
      </c>
      <c r="D59" s="10" t="s">
        <v>292</v>
      </c>
      <c r="E59" s="10" t="s">
        <v>36</v>
      </c>
      <c r="F59" s="10" t="s">
        <v>36</v>
      </c>
      <c r="G59" s="10"/>
      <c r="H59" s="10"/>
      <c r="I59" s="9"/>
    </row>
    <row r="60" customFormat="false" ht="14.25" hidden="false" customHeight="false" outlineLevel="0" collapsed="false">
      <c r="A60" s="21" t="s">
        <v>282</v>
      </c>
      <c r="B60" s="21" t="s">
        <v>288</v>
      </c>
      <c r="C60" s="9" t="s">
        <v>293</v>
      </c>
      <c r="D60" s="10" t="s">
        <v>294</v>
      </c>
      <c r="E60" s="10" t="s">
        <v>36</v>
      </c>
      <c r="F60" s="10" t="s">
        <v>36</v>
      </c>
      <c r="G60" s="10"/>
      <c r="H60" s="10"/>
      <c r="I60" s="9"/>
    </row>
    <row r="61" customFormat="false" ht="14.25" hidden="false" customHeight="false" outlineLevel="0" collapsed="false">
      <c r="A61" s="21" t="s">
        <v>282</v>
      </c>
      <c r="B61" s="21" t="s">
        <v>288</v>
      </c>
      <c r="C61" s="9" t="s">
        <v>295</v>
      </c>
      <c r="D61" s="10" t="s">
        <v>296</v>
      </c>
      <c r="E61" s="10" t="s">
        <v>36</v>
      </c>
      <c r="F61" s="10" t="s">
        <v>36</v>
      </c>
      <c r="G61" s="10"/>
      <c r="H61" s="10"/>
      <c r="I61" s="9"/>
    </row>
    <row r="62" customFormat="false" ht="14.25" hidden="false" customHeight="false" outlineLevel="0" collapsed="false">
      <c r="A62" s="21" t="s">
        <v>282</v>
      </c>
      <c r="B62" s="21" t="s">
        <v>288</v>
      </c>
      <c r="C62" s="9" t="s">
        <v>297</v>
      </c>
      <c r="D62" s="10" t="s">
        <v>298</v>
      </c>
      <c r="E62" s="10" t="s">
        <v>36</v>
      </c>
      <c r="F62" s="10" t="s">
        <v>36</v>
      </c>
      <c r="G62" s="10"/>
      <c r="H62" s="10"/>
      <c r="I62" s="9"/>
    </row>
    <row r="63" customFormat="false" ht="14.25" hidden="false" customHeight="false" outlineLevel="0" collapsed="false">
      <c r="A63" s="21" t="s">
        <v>282</v>
      </c>
      <c r="B63" s="21" t="s">
        <v>288</v>
      </c>
      <c r="C63" s="9" t="s">
        <v>299</v>
      </c>
      <c r="D63" s="10" t="s">
        <v>300</v>
      </c>
      <c r="E63" s="10" t="s">
        <v>36</v>
      </c>
      <c r="F63" s="10" t="s">
        <v>36</v>
      </c>
      <c r="G63" s="10"/>
      <c r="H63" s="10"/>
      <c r="I63" s="9"/>
    </row>
    <row r="64" customFormat="false" ht="14.25" hidden="false" customHeight="false" outlineLevel="0" collapsed="false">
      <c r="A64" s="21" t="s">
        <v>282</v>
      </c>
      <c r="B64" s="21" t="s">
        <v>288</v>
      </c>
      <c r="C64" s="9" t="s">
        <v>301</v>
      </c>
      <c r="D64" s="10" t="s">
        <v>302</v>
      </c>
      <c r="E64" s="10" t="s">
        <v>36</v>
      </c>
      <c r="F64" s="10" t="s">
        <v>36</v>
      </c>
      <c r="G64" s="10"/>
      <c r="H64" s="10"/>
      <c r="I64" s="9"/>
    </row>
    <row r="65" customFormat="false" ht="14.25" hidden="false" customHeight="false" outlineLevel="0" collapsed="false">
      <c r="A65" s="21" t="s">
        <v>282</v>
      </c>
      <c r="B65" s="21" t="s">
        <v>288</v>
      </c>
      <c r="C65" s="9" t="s">
        <v>303</v>
      </c>
      <c r="D65" s="10" t="s">
        <v>304</v>
      </c>
      <c r="E65" s="10" t="s">
        <v>36</v>
      </c>
      <c r="F65" s="10" t="s">
        <v>36</v>
      </c>
      <c r="G65" s="10"/>
      <c r="H65" s="10"/>
      <c r="I65" s="9"/>
    </row>
    <row r="66" customFormat="false" ht="14.25" hidden="false" customHeight="false" outlineLevel="0" collapsed="false">
      <c r="A66" s="21" t="s">
        <v>282</v>
      </c>
      <c r="B66" s="21" t="s">
        <v>305</v>
      </c>
      <c r="C66" s="9" t="s">
        <v>306</v>
      </c>
      <c r="D66" s="10" t="s">
        <v>307</v>
      </c>
      <c r="E66" s="10" t="s">
        <v>36</v>
      </c>
      <c r="F66" s="10" t="s">
        <v>36</v>
      </c>
      <c r="G66" s="10"/>
      <c r="H66" s="10"/>
      <c r="I66" s="9"/>
    </row>
    <row r="67" customFormat="false" ht="14.25" hidden="false" customHeight="false" outlineLevel="0" collapsed="false">
      <c r="A67" s="21" t="s">
        <v>282</v>
      </c>
      <c r="B67" s="21" t="s">
        <v>305</v>
      </c>
      <c r="C67" s="9" t="s">
        <v>308</v>
      </c>
      <c r="D67" s="10" t="s">
        <v>309</v>
      </c>
      <c r="E67" s="10" t="s">
        <v>36</v>
      </c>
      <c r="F67" s="10" t="s">
        <v>36</v>
      </c>
      <c r="G67" s="10"/>
      <c r="H67" s="10"/>
      <c r="I67" s="9"/>
    </row>
    <row r="68" customFormat="false" ht="14.25" hidden="false" customHeight="false" outlineLevel="0" collapsed="false">
      <c r="A68" s="21" t="s">
        <v>282</v>
      </c>
      <c r="B68" s="21" t="s">
        <v>305</v>
      </c>
      <c r="C68" s="9" t="s">
        <v>310</v>
      </c>
      <c r="D68" s="10" t="s">
        <v>311</v>
      </c>
      <c r="E68" s="10" t="s">
        <v>36</v>
      </c>
      <c r="F68" s="10" t="s">
        <v>36</v>
      </c>
      <c r="G68" s="10"/>
      <c r="H68" s="10"/>
      <c r="I68" s="9"/>
    </row>
    <row r="69" customFormat="false" ht="14.25" hidden="false" customHeight="false" outlineLevel="0" collapsed="false">
      <c r="A69" s="21" t="s">
        <v>282</v>
      </c>
      <c r="B69" s="21" t="s">
        <v>305</v>
      </c>
      <c r="C69" s="9" t="s">
        <v>312</v>
      </c>
      <c r="D69" s="10" t="s">
        <v>313</v>
      </c>
      <c r="E69" s="10" t="s">
        <v>36</v>
      </c>
      <c r="F69" s="10" t="s">
        <v>36</v>
      </c>
      <c r="G69" s="10"/>
      <c r="H69" s="10"/>
      <c r="I69" s="9"/>
    </row>
    <row r="70" customFormat="false" ht="14.25" hidden="false" customHeight="false" outlineLevel="0" collapsed="false">
      <c r="A70" s="21" t="s">
        <v>282</v>
      </c>
      <c r="B70" s="21" t="s">
        <v>305</v>
      </c>
      <c r="C70" s="9" t="s">
        <v>314</v>
      </c>
      <c r="D70" s="10" t="s">
        <v>315</v>
      </c>
      <c r="E70" s="10" t="s">
        <v>36</v>
      </c>
      <c r="F70" s="10" t="s">
        <v>36</v>
      </c>
      <c r="G70" s="10"/>
      <c r="H70" s="10"/>
      <c r="I70" s="9"/>
    </row>
    <row r="71" customFormat="false" ht="14.25" hidden="false" customHeight="false" outlineLevel="0" collapsed="false">
      <c r="A71" s="21" t="s">
        <v>282</v>
      </c>
      <c r="B71" s="21" t="s">
        <v>305</v>
      </c>
      <c r="C71" s="9" t="s">
        <v>316</v>
      </c>
      <c r="D71" s="10" t="s">
        <v>317</v>
      </c>
      <c r="E71" s="10" t="s">
        <v>36</v>
      </c>
      <c r="F71" s="10" t="s">
        <v>36</v>
      </c>
      <c r="G71" s="10"/>
      <c r="H71" s="10"/>
      <c r="I71" s="9"/>
    </row>
    <row r="72" customFormat="false" ht="14.25" hidden="false" customHeight="false" outlineLevel="0" collapsed="false">
      <c r="A72" s="21" t="s">
        <v>282</v>
      </c>
      <c r="B72" s="21" t="s">
        <v>318</v>
      </c>
      <c r="C72" s="9" t="s">
        <v>319</v>
      </c>
      <c r="D72" s="10" t="s">
        <v>320</v>
      </c>
      <c r="E72" s="10" t="s">
        <v>36</v>
      </c>
      <c r="F72" s="10" t="s">
        <v>36</v>
      </c>
      <c r="G72" s="10"/>
      <c r="H72" s="10"/>
      <c r="I72" s="9"/>
    </row>
    <row r="73" customFormat="false" ht="14.25" hidden="false" customHeight="false" outlineLevel="0" collapsed="false">
      <c r="A73" s="21" t="s">
        <v>282</v>
      </c>
      <c r="B73" s="21" t="s">
        <v>318</v>
      </c>
      <c r="C73" s="9" t="s">
        <v>321</v>
      </c>
      <c r="D73" s="10" t="s">
        <v>322</v>
      </c>
      <c r="E73" s="10" t="s">
        <v>36</v>
      </c>
      <c r="F73" s="10" t="s">
        <v>36</v>
      </c>
      <c r="G73" s="10"/>
      <c r="H73" s="10"/>
      <c r="I73" s="9"/>
    </row>
    <row r="74" customFormat="false" ht="14.25" hidden="false" customHeight="false" outlineLevel="0" collapsed="false">
      <c r="A74" s="21" t="s">
        <v>282</v>
      </c>
      <c r="B74" s="21" t="s">
        <v>323</v>
      </c>
      <c r="C74" s="9" t="s">
        <v>324</v>
      </c>
      <c r="D74" s="10" t="s">
        <v>325</v>
      </c>
      <c r="E74" s="10" t="s">
        <v>36</v>
      </c>
      <c r="F74" s="10" t="s">
        <v>36</v>
      </c>
      <c r="G74" s="10"/>
      <c r="H74" s="10"/>
      <c r="I74" s="9"/>
    </row>
    <row r="75" customFormat="false" ht="14.25" hidden="false" customHeight="false" outlineLevel="0" collapsed="false">
      <c r="A75" s="21" t="s">
        <v>282</v>
      </c>
      <c r="B75" s="21" t="s">
        <v>323</v>
      </c>
      <c r="C75" s="9" t="s">
        <v>326</v>
      </c>
      <c r="D75" s="10" t="s">
        <v>327</v>
      </c>
      <c r="E75" s="10" t="s">
        <v>36</v>
      </c>
      <c r="F75" s="10" t="s">
        <v>36</v>
      </c>
      <c r="G75" s="10"/>
      <c r="H75" s="10"/>
      <c r="I75" s="9"/>
    </row>
    <row r="76" customFormat="false" ht="14.25" hidden="false" customHeight="false" outlineLevel="0" collapsed="false">
      <c r="A76" s="21" t="s">
        <v>282</v>
      </c>
      <c r="B76" s="21" t="s">
        <v>323</v>
      </c>
      <c r="C76" s="9" t="s">
        <v>328</v>
      </c>
      <c r="D76" s="10" t="s">
        <v>329</v>
      </c>
      <c r="E76" s="10" t="s">
        <v>36</v>
      </c>
      <c r="F76" s="10" t="s">
        <v>36</v>
      </c>
      <c r="G76" s="10"/>
      <c r="H76" s="10"/>
      <c r="I76" s="9"/>
    </row>
    <row r="77" customFormat="false" ht="14.25" hidden="false" customHeight="false" outlineLevel="0" collapsed="false">
      <c r="A77" s="21" t="s">
        <v>282</v>
      </c>
      <c r="B77" s="21" t="s">
        <v>330</v>
      </c>
      <c r="C77" s="9" t="s">
        <v>331</v>
      </c>
      <c r="D77" s="10" t="s">
        <v>332</v>
      </c>
      <c r="E77" s="10" t="s">
        <v>36</v>
      </c>
      <c r="F77" s="10" t="s">
        <v>36</v>
      </c>
      <c r="G77" s="10"/>
      <c r="H77" s="10"/>
      <c r="I77" s="9"/>
    </row>
    <row r="78" customFormat="false" ht="14.25" hidden="false" customHeight="false" outlineLevel="0" collapsed="false">
      <c r="A78" s="21" t="s">
        <v>282</v>
      </c>
      <c r="B78" s="21" t="s">
        <v>330</v>
      </c>
      <c r="C78" s="9" t="s">
        <v>333</v>
      </c>
      <c r="D78" s="10" t="s">
        <v>334</v>
      </c>
      <c r="E78" s="10" t="s">
        <v>36</v>
      </c>
      <c r="F78" s="10" t="s">
        <v>36</v>
      </c>
      <c r="G78" s="10"/>
      <c r="H78" s="10"/>
      <c r="I78" s="9"/>
    </row>
    <row r="79" customFormat="false" ht="14.25" hidden="false" customHeight="false" outlineLevel="0" collapsed="false">
      <c r="A79" s="21" t="s">
        <v>282</v>
      </c>
      <c r="B79" s="21" t="s">
        <v>330</v>
      </c>
      <c r="C79" s="9" t="s">
        <v>335</v>
      </c>
      <c r="D79" s="10" t="s">
        <v>336</v>
      </c>
      <c r="E79" s="10" t="s">
        <v>36</v>
      </c>
      <c r="F79" s="10" t="s">
        <v>36</v>
      </c>
      <c r="G79" s="10"/>
      <c r="H79" s="10"/>
      <c r="I79" s="9"/>
    </row>
    <row r="80" customFormat="false" ht="26.25" hidden="false" customHeight="true" outlineLevel="0" collapsed="false">
      <c r="A80" s="21" t="s">
        <v>282</v>
      </c>
      <c r="B80" s="21" t="s">
        <v>337</v>
      </c>
      <c r="C80" s="9" t="s">
        <v>338</v>
      </c>
      <c r="D80" s="10" t="s">
        <v>339</v>
      </c>
      <c r="E80" s="10" t="s">
        <v>36</v>
      </c>
      <c r="F80" s="10" t="s">
        <v>36</v>
      </c>
      <c r="G80" s="10"/>
      <c r="H80" s="10"/>
      <c r="I80" s="9"/>
    </row>
    <row r="81" customFormat="false" ht="14.25" hidden="false" customHeight="false" outlineLevel="0" collapsed="false">
      <c r="A81" s="21" t="s">
        <v>282</v>
      </c>
      <c r="B81" s="21" t="s">
        <v>337</v>
      </c>
      <c r="C81" s="9" t="s">
        <v>340</v>
      </c>
      <c r="D81" s="10" t="s">
        <v>341</v>
      </c>
      <c r="E81" s="10" t="s">
        <v>36</v>
      </c>
      <c r="F81" s="10" t="s">
        <v>36</v>
      </c>
      <c r="G81" s="10"/>
      <c r="H81" s="10"/>
      <c r="I81" s="9"/>
    </row>
    <row r="82" customFormat="false" ht="14.25" hidden="false" customHeight="false" outlineLevel="0" collapsed="false">
      <c r="A82" s="21" t="s">
        <v>282</v>
      </c>
      <c r="B82" s="21" t="s">
        <v>337</v>
      </c>
      <c r="C82" s="9" t="s">
        <v>342</v>
      </c>
      <c r="D82" s="10" t="s">
        <v>343</v>
      </c>
      <c r="E82" s="10" t="s">
        <v>36</v>
      </c>
      <c r="F82" s="10" t="s">
        <v>36</v>
      </c>
      <c r="G82" s="10"/>
      <c r="H82" s="10"/>
      <c r="I82" s="9"/>
    </row>
    <row r="83" customFormat="false" ht="14.25" hidden="false" customHeight="false" outlineLevel="0" collapsed="false">
      <c r="A83" s="21" t="s">
        <v>282</v>
      </c>
      <c r="B83" s="21" t="s">
        <v>337</v>
      </c>
      <c r="C83" s="9" t="s">
        <v>344</v>
      </c>
      <c r="D83" s="10" t="s">
        <v>345</v>
      </c>
      <c r="E83" s="10" t="s">
        <v>36</v>
      </c>
      <c r="F83" s="10" t="s">
        <v>36</v>
      </c>
      <c r="G83" s="10"/>
      <c r="H83" s="10"/>
      <c r="I83" s="9"/>
    </row>
    <row r="84" customFormat="false" ht="14.25" hidden="false" customHeight="false" outlineLevel="0" collapsed="false">
      <c r="A84" s="21" t="s">
        <v>282</v>
      </c>
      <c r="B84" s="21" t="s">
        <v>337</v>
      </c>
      <c r="C84" s="9" t="s">
        <v>346</v>
      </c>
      <c r="D84" s="10" t="s">
        <v>347</v>
      </c>
      <c r="E84" s="10" t="s">
        <v>36</v>
      </c>
      <c r="F84" s="10" t="s">
        <v>36</v>
      </c>
      <c r="G84" s="10"/>
      <c r="H84" s="10"/>
      <c r="I84" s="9"/>
    </row>
    <row r="85" customFormat="false" ht="14.25" hidden="false" customHeight="false" outlineLevel="0" collapsed="false">
      <c r="A85" s="21" t="s">
        <v>282</v>
      </c>
      <c r="B85" s="21" t="s">
        <v>337</v>
      </c>
      <c r="C85" s="9" t="s">
        <v>348</v>
      </c>
      <c r="D85" s="10" t="s">
        <v>349</v>
      </c>
      <c r="E85" s="10" t="s">
        <v>36</v>
      </c>
      <c r="F85" s="10" t="s">
        <v>36</v>
      </c>
      <c r="G85" s="10"/>
      <c r="H85" s="10"/>
      <c r="I85" s="9"/>
    </row>
    <row r="86" customFormat="false" ht="14.25" hidden="false" customHeight="false" outlineLevel="0" collapsed="false">
      <c r="A86" s="21" t="s">
        <v>282</v>
      </c>
      <c r="B86" s="21" t="s">
        <v>350</v>
      </c>
      <c r="C86" s="9" t="s">
        <v>351</v>
      </c>
      <c r="D86" s="10" t="s">
        <v>352</v>
      </c>
      <c r="E86" s="10" t="s">
        <v>23</v>
      </c>
      <c r="F86" s="10" t="s">
        <v>23</v>
      </c>
      <c r="G86" s="10"/>
      <c r="H86" s="10"/>
      <c r="I86" s="9"/>
    </row>
    <row r="87" customFormat="false" ht="14.25" hidden="false" customHeight="false" outlineLevel="0" collapsed="false">
      <c r="A87" s="21" t="s">
        <v>282</v>
      </c>
      <c r="B87" s="21" t="s">
        <v>350</v>
      </c>
      <c r="C87" s="9" t="s">
        <v>353</v>
      </c>
      <c r="D87" s="10" t="s">
        <v>354</v>
      </c>
      <c r="E87" s="10" t="s">
        <v>23</v>
      </c>
      <c r="F87" s="10" t="s">
        <v>23</v>
      </c>
      <c r="G87" s="10"/>
      <c r="H87" s="10"/>
      <c r="I87" s="9"/>
    </row>
    <row r="88" customFormat="false" ht="14.25" hidden="false" customHeight="false" outlineLevel="0" collapsed="false">
      <c r="A88" s="21" t="s">
        <v>282</v>
      </c>
      <c r="B88" s="21" t="s">
        <v>350</v>
      </c>
      <c r="C88" s="9" t="s">
        <v>355</v>
      </c>
      <c r="D88" s="10" t="s">
        <v>356</v>
      </c>
      <c r="E88" s="10" t="s">
        <v>23</v>
      </c>
      <c r="F88" s="10" t="s">
        <v>23</v>
      </c>
      <c r="G88" s="10"/>
      <c r="H88" s="10"/>
      <c r="I88" s="9"/>
    </row>
    <row r="89" customFormat="false" ht="14.25" hidden="false" customHeight="false" outlineLevel="0" collapsed="false">
      <c r="A89" s="21" t="s">
        <v>282</v>
      </c>
      <c r="B89" s="21" t="s">
        <v>350</v>
      </c>
      <c r="C89" s="9" t="s">
        <v>357</v>
      </c>
      <c r="D89" s="10" t="s">
        <v>358</v>
      </c>
      <c r="E89" s="10" t="s">
        <v>23</v>
      </c>
      <c r="F89" s="10" t="s">
        <v>359</v>
      </c>
      <c r="G89" s="10"/>
      <c r="H89" s="10"/>
      <c r="I89" s="9"/>
    </row>
    <row r="90" customFormat="false" ht="14.25" hidden="false" customHeight="false" outlineLevel="0" collapsed="false">
      <c r="A90" s="21" t="s">
        <v>282</v>
      </c>
      <c r="B90" s="21" t="s">
        <v>360</v>
      </c>
      <c r="C90" s="9" t="s">
        <v>361</v>
      </c>
      <c r="D90" s="10" t="s">
        <v>362</v>
      </c>
      <c r="E90" s="10" t="s">
        <v>36</v>
      </c>
      <c r="F90" s="10" t="s">
        <v>36</v>
      </c>
      <c r="G90" s="10"/>
      <c r="H90" s="10"/>
      <c r="I90" s="9"/>
    </row>
    <row r="91" customFormat="false" ht="14.25" hidden="false" customHeight="false" outlineLevel="0" collapsed="false">
      <c r="A91" s="21" t="s">
        <v>282</v>
      </c>
      <c r="B91" s="21" t="s">
        <v>360</v>
      </c>
      <c r="C91" s="9" t="s">
        <v>363</v>
      </c>
      <c r="D91" s="10" t="s">
        <v>364</v>
      </c>
      <c r="E91" s="10" t="s">
        <v>36</v>
      </c>
      <c r="F91" s="10" t="s">
        <v>36</v>
      </c>
      <c r="G91" s="10"/>
      <c r="H91" s="10"/>
      <c r="I91" s="9"/>
    </row>
    <row r="92" customFormat="false" ht="14.25" hidden="false" customHeight="false" outlineLevel="0" collapsed="false">
      <c r="A92" s="21" t="s">
        <v>282</v>
      </c>
      <c r="B92" s="21" t="s">
        <v>365</v>
      </c>
      <c r="C92" s="9" t="s">
        <v>366</v>
      </c>
      <c r="D92" s="10" t="s">
        <v>367</v>
      </c>
      <c r="E92" s="10" t="s">
        <v>36</v>
      </c>
      <c r="F92" s="10" t="s">
        <v>36</v>
      </c>
      <c r="G92" s="10"/>
      <c r="H92" s="10"/>
      <c r="I92" s="9"/>
    </row>
    <row r="93" customFormat="false" ht="14.25" hidden="false" customHeight="false" outlineLevel="0" collapsed="false">
      <c r="A93" s="21" t="s">
        <v>282</v>
      </c>
      <c r="B93" s="21" t="s">
        <v>365</v>
      </c>
      <c r="C93" s="9" t="s">
        <v>368</v>
      </c>
      <c r="D93" s="10" t="s">
        <v>369</v>
      </c>
      <c r="E93" s="10" t="s">
        <v>36</v>
      </c>
      <c r="F93" s="10" t="s">
        <v>36</v>
      </c>
      <c r="G93" s="10"/>
      <c r="H93" s="10"/>
      <c r="I93" s="9"/>
    </row>
    <row r="94" customFormat="false" ht="14.25" hidden="false" customHeight="false" outlineLevel="0" collapsed="false">
      <c r="A94" s="21" t="s">
        <v>282</v>
      </c>
      <c r="B94" s="21" t="s">
        <v>365</v>
      </c>
      <c r="C94" s="9" t="s">
        <v>370</v>
      </c>
      <c r="D94" s="10" t="s">
        <v>371</v>
      </c>
      <c r="E94" s="10" t="s">
        <v>36</v>
      </c>
      <c r="F94" s="10" t="s">
        <v>36</v>
      </c>
      <c r="G94" s="10"/>
      <c r="H94" s="10"/>
      <c r="I94" s="9"/>
    </row>
    <row r="95" customFormat="false" ht="14.25" hidden="false" customHeight="false" outlineLevel="0" collapsed="false">
      <c r="A95" s="21" t="s">
        <v>282</v>
      </c>
      <c r="B95" s="21" t="s">
        <v>372</v>
      </c>
      <c r="C95" s="9" t="s">
        <v>373</v>
      </c>
      <c r="D95" s="10" t="s">
        <v>374</v>
      </c>
      <c r="E95" s="10" t="s">
        <v>36</v>
      </c>
      <c r="F95" s="10" t="s">
        <v>36</v>
      </c>
      <c r="G95" s="10"/>
      <c r="H95" s="10"/>
      <c r="I95" s="9"/>
    </row>
    <row r="96" customFormat="false" ht="14.25" hidden="false" customHeight="false" outlineLevel="0" collapsed="false">
      <c r="A96" s="21" t="s">
        <v>282</v>
      </c>
      <c r="B96" s="21" t="s">
        <v>372</v>
      </c>
      <c r="C96" s="9" t="s">
        <v>375</v>
      </c>
      <c r="D96" s="10" t="s">
        <v>376</v>
      </c>
      <c r="E96" s="10" t="s">
        <v>36</v>
      </c>
      <c r="F96" s="10" t="s">
        <v>36</v>
      </c>
      <c r="G96" s="10"/>
      <c r="H96" s="10"/>
      <c r="I96" s="9"/>
    </row>
    <row r="97" customFormat="false" ht="14.25" hidden="false" customHeight="false" outlineLevel="0" collapsed="false">
      <c r="A97" s="21" t="s">
        <v>282</v>
      </c>
      <c r="B97" s="21" t="s">
        <v>372</v>
      </c>
      <c r="C97" s="9" t="s">
        <v>377</v>
      </c>
      <c r="D97" s="10" t="s">
        <v>378</v>
      </c>
      <c r="E97" s="10" t="s">
        <v>36</v>
      </c>
      <c r="F97" s="10" t="s">
        <v>36</v>
      </c>
      <c r="G97" s="10"/>
      <c r="H97" s="10"/>
      <c r="I97" s="9"/>
    </row>
    <row r="98" customFormat="false" ht="14.25" hidden="false" customHeight="false" outlineLevel="0" collapsed="false">
      <c r="A98" s="21" t="s">
        <v>282</v>
      </c>
      <c r="B98" s="21" t="s">
        <v>372</v>
      </c>
      <c r="C98" s="9" t="s">
        <v>379</v>
      </c>
      <c r="D98" s="10" t="s">
        <v>380</v>
      </c>
      <c r="E98" s="10" t="s">
        <v>36</v>
      </c>
      <c r="F98" s="10" t="s">
        <v>36</v>
      </c>
      <c r="G98" s="10"/>
      <c r="H98" s="10"/>
      <c r="I98" s="9"/>
    </row>
    <row r="99" customFormat="false" ht="35.5" hidden="false" customHeight="false" outlineLevel="0" collapsed="false">
      <c r="A99" s="21" t="s">
        <v>282</v>
      </c>
      <c r="B99" s="21"/>
      <c r="C99" s="9" t="s">
        <v>381</v>
      </c>
      <c r="D99" s="10" t="s">
        <v>382</v>
      </c>
      <c r="E99" s="10" t="s">
        <v>36</v>
      </c>
      <c r="F99" s="10" t="s">
        <v>36</v>
      </c>
      <c r="G99" s="10"/>
      <c r="H99" s="10"/>
      <c r="I99" s="9" t="s">
        <v>383</v>
      </c>
    </row>
    <row r="100" customFormat="false" ht="14.25" hidden="false" customHeight="false" outlineLevel="0" collapsed="false">
      <c r="A100" s="21" t="s">
        <v>282</v>
      </c>
      <c r="B100" s="21"/>
      <c r="C100" s="9" t="s">
        <v>384</v>
      </c>
      <c r="D100" s="10" t="s">
        <v>385</v>
      </c>
      <c r="E100" s="10" t="s">
        <v>36</v>
      </c>
      <c r="F100" s="10" t="s">
        <v>36</v>
      </c>
      <c r="G100" s="10"/>
      <c r="H100" s="10"/>
      <c r="I100" s="9" t="s">
        <v>386</v>
      </c>
    </row>
    <row r="101" customFormat="false" ht="14.25" hidden="false" customHeight="false" outlineLevel="0" collapsed="false">
      <c r="A101" s="21" t="s">
        <v>282</v>
      </c>
      <c r="B101" s="21"/>
      <c r="C101" s="9" t="s">
        <v>387</v>
      </c>
      <c r="D101" s="10" t="s">
        <v>388</v>
      </c>
      <c r="E101" s="10" t="s">
        <v>36</v>
      </c>
      <c r="F101" s="10" t="s">
        <v>36</v>
      </c>
      <c r="G101" s="10"/>
      <c r="H101" s="10"/>
      <c r="I101" s="9"/>
    </row>
    <row r="102" customFormat="false" ht="24.05" hidden="false" customHeight="false" outlineLevel="0" collapsed="false">
      <c r="A102" s="21" t="s">
        <v>282</v>
      </c>
      <c r="B102" s="21"/>
      <c r="C102" s="9" t="s">
        <v>389</v>
      </c>
      <c r="D102" s="10" t="s">
        <v>390</v>
      </c>
      <c r="E102" s="10" t="s">
        <v>36</v>
      </c>
      <c r="F102" s="10" t="s">
        <v>36</v>
      </c>
      <c r="G102" s="10"/>
      <c r="H102" s="10"/>
      <c r="I102" s="9" t="s">
        <v>391</v>
      </c>
    </row>
    <row r="103" customFormat="false" ht="24.05" hidden="false" customHeight="false" outlineLevel="0" collapsed="false">
      <c r="A103" s="21" t="s">
        <v>282</v>
      </c>
      <c r="B103" s="21"/>
      <c r="C103" s="9" t="s">
        <v>392</v>
      </c>
      <c r="D103" s="10" t="s">
        <v>393</v>
      </c>
      <c r="E103" s="10" t="s">
        <v>36</v>
      </c>
      <c r="F103" s="10" t="s">
        <v>36</v>
      </c>
      <c r="G103" s="10"/>
      <c r="H103" s="10"/>
      <c r="I103" s="9" t="s">
        <v>394</v>
      </c>
    </row>
    <row r="104" customFormat="false" ht="35.5" hidden="false" customHeight="false" outlineLevel="0" collapsed="false">
      <c r="A104" s="21" t="s">
        <v>282</v>
      </c>
      <c r="B104" s="21"/>
      <c r="C104" s="9" t="s">
        <v>395</v>
      </c>
      <c r="D104" s="10" t="s">
        <v>396</v>
      </c>
      <c r="E104" s="10" t="s">
        <v>36</v>
      </c>
      <c r="F104" s="10" t="s">
        <v>36</v>
      </c>
      <c r="G104" s="10"/>
      <c r="H104" s="10"/>
      <c r="I104" s="9" t="s">
        <v>397</v>
      </c>
    </row>
    <row r="105" customFormat="false" ht="24.05" hidden="false" customHeight="false" outlineLevel="0" collapsed="false">
      <c r="A105" s="21" t="s">
        <v>282</v>
      </c>
      <c r="B105" s="21"/>
      <c r="C105" s="9" t="s">
        <v>398</v>
      </c>
      <c r="D105" s="10" t="s">
        <v>399</v>
      </c>
      <c r="E105" s="10" t="s">
        <v>36</v>
      </c>
      <c r="F105" s="10" t="s">
        <v>36</v>
      </c>
      <c r="G105" s="10"/>
      <c r="H105" s="10"/>
      <c r="I105" s="9" t="s">
        <v>400</v>
      </c>
    </row>
    <row r="106" customFormat="false" ht="14.25" hidden="false" customHeight="false" outlineLevel="0" collapsed="false">
      <c r="A106" s="22" t="s">
        <v>401</v>
      </c>
      <c r="B106" s="22"/>
      <c r="C106" s="9" t="s">
        <v>402</v>
      </c>
      <c r="D106" s="10" t="s">
        <v>403</v>
      </c>
      <c r="E106" s="10" t="s">
        <v>36</v>
      </c>
      <c r="F106" s="10" t="s">
        <v>36</v>
      </c>
      <c r="G106" s="10"/>
      <c r="H106" s="10"/>
      <c r="I106" s="9"/>
    </row>
    <row r="107" customFormat="false" ht="14.25" hidden="false" customHeight="false" outlineLevel="0" collapsed="false">
      <c r="A107" s="22" t="s">
        <v>401</v>
      </c>
      <c r="B107" s="22"/>
      <c r="C107" s="9" t="s">
        <v>404</v>
      </c>
      <c r="D107" s="10" t="s">
        <v>405</v>
      </c>
      <c r="E107" s="10" t="s">
        <v>36</v>
      </c>
      <c r="F107" s="10" t="s">
        <v>36</v>
      </c>
      <c r="G107" s="10"/>
      <c r="H107" s="10"/>
      <c r="I107" s="9"/>
    </row>
    <row r="108" customFormat="false" ht="52.5" hidden="false" customHeight="true" outlineLevel="0" collapsed="false">
      <c r="A108" s="23" t="s">
        <v>406</v>
      </c>
      <c r="B108" s="23"/>
      <c r="C108" s="9" t="s">
        <v>407</v>
      </c>
      <c r="D108" s="10" t="s">
        <v>408</v>
      </c>
      <c r="E108" s="10" t="s">
        <v>36</v>
      </c>
      <c r="F108" s="10" t="s">
        <v>36</v>
      </c>
      <c r="G108" s="10"/>
      <c r="H108" s="10"/>
      <c r="I108" s="9"/>
    </row>
    <row r="109" customFormat="false" ht="39" hidden="false" customHeight="true" outlineLevel="0" collapsed="false">
      <c r="A109" s="23" t="s">
        <v>406</v>
      </c>
      <c r="B109" s="23"/>
      <c r="C109" s="9" t="s">
        <v>409</v>
      </c>
      <c r="D109" s="10" t="s">
        <v>410</v>
      </c>
      <c r="E109" s="10" t="s">
        <v>36</v>
      </c>
      <c r="F109" s="10" t="s">
        <v>36</v>
      </c>
      <c r="G109" s="10"/>
      <c r="H109" s="10"/>
      <c r="I109" s="9"/>
    </row>
    <row r="110" customFormat="false" ht="14.25" hidden="false" customHeight="false" outlineLevel="0" collapsed="false">
      <c r="A110" s="23" t="s">
        <v>406</v>
      </c>
      <c r="B110" s="23"/>
      <c r="C110" s="9"/>
      <c r="D110" s="10" t="s">
        <v>411</v>
      </c>
      <c r="E110" s="10" t="s">
        <v>36</v>
      </c>
      <c r="F110" s="10" t="s">
        <v>36</v>
      </c>
      <c r="G110" s="10"/>
      <c r="H110" s="10"/>
      <c r="I110" s="9"/>
    </row>
    <row r="111" customFormat="false" ht="14.25" hidden="false" customHeight="false" outlineLevel="0" collapsed="false">
      <c r="A111" s="23" t="s">
        <v>406</v>
      </c>
      <c r="B111" s="23"/>
      <c r="C111" s="9"/>
      <c r="D111" s="10" t="s">
        <v>412</v>
      </c>
      <c r="E111" s="10" t="s">
        <v>23</v>
      </c>
      <c r="F111" s="10" t="s">
        <v>23</v>
      </c>
      <c r="G111" s="10"/>
      <c r="H111" s="10"/>
      <c r="I111" s="9"/>
    </row>
    <row r="112" customFormat="false" ht="14.25" hidden="false" customHeight="false" outlineLevel="0" collapsed="false">
      <c r="A112" s="23" t="s">
        <v>406</v>
      </c>
      <c r="B112" s="23"/>
      <c r="C112" s="9" t="s">
        <v>413</v>
      </c>
      <c r="D112" s="10" t="s">
        <v>414</v>
      </c>
      <c r="E112" s="10" t="s">
        <v>36</v>
      </c>
      <c r="F112" s="10" t="s">
        <v>36</v>
      </c>
      <c r="G112" s="10"/>
      <c r="H112" s="10"/>
      <c r="I112" s="9"/>
    </row>
    <row r="113" customFormat="false" ht="14.25" hidden="false" customHeight="false" outlineLevel="0" collapsed="false">
      <c r="A113" s="23" t="s">
        <v>406</v>
      </c>
      <c r="B113" s="23"/>
      <c r="C113" s="9" t="s">
        <v>415</v>
      </c>
      <c r="D113" s="10" t="s">
        <v>416</v>
      </c>
      <c r="E113" s="10" t="s">
        <v>36</v>
      </c>
      <c r="F113" s="10" t="s">
        <v>36</v>
      </c>
      <c r="G113" s="10"/>
      <c r="H113" s="10"/>
      <c r="I113" s="9"/>
    </row>
    <row r="114" customFormat="false" ht="14.25" hidden="false" customHeight="false" outlineLevel="0" collapsed="false">
      <c r="A114" s="23" t="s">
        <v>406</v>
      </c>
      <c r="B114" s="23"/>
      <c r="C114" s="9" t="s">
        <v>417</v>
      </c>
      <c r="D114" s="10" t="s">
        <v>418</v>
      </c>
      <c r="E114" s="10" t="s">
        <v>36</v>
      </c>
      <c r="F114" s="10" t="s">
        <v>36</v>
      </c>
      <c r="G114" s="10"/>
      <c r="H114" s="10"/>
      <c r="I114" s="9"/>
    </row>
    <row r="115" customFormat="false" ht="46.95" hidden="false" customHeight="false" outlineLevel="0" collapsed="false">
      <c r="A115" s="24" t="s">
        <v>419</v>
      </c>
      <c r="B115" s="23" t="s">
        <v>420</v>
      </c>
      <c r="C115" s="9" t="s">
        <v>421</v>
      </c>
      <c r="D115" s="10" t="s">
        <v>422</v>
      </c>
      <c r="E115" s="10" t="s">
        <v>36</v>
      </c>
      <c r="F115" s="10" t="s">
        <v>36</v>
      </c>
      <c r="G115" s="10"/>
      <c r="H115" s="10"/>
      <c r="I115" s="9" t="s">
        <v>423</v>
      </c>
    </row>
    <row r="116" customFormat="false" ht="35.5" hidden="false" customHeight="false" outlineLevel="0" collapsed="false">
      <c r="A116" s="24" t="s">
        <v>419</v>
      </c>
      <c r="B116" s="23" t="s">
        <v>424</v>
      </c>
      <c r="C116" s="9" t="s">
        <v>425</v>
      </c>
      <c r="D116" s="10" t="s">
        <v>426</v>
      </c>
      <c r="E116" s="10" t="s">
        <v>36</v>
      </c>
      <c r="F116" s="10" t="s">
        <v>36</v>
      </c>
      <c r="G116" s="10"/>
      <c r="H116" s="10"/>
      <c r="I116" s="9" t="s">
        <v>427</v>
      </c>
    </row>
  </sheetData>
  <autoFilter ref="A1:I116"/>
  <dataValidations count="1">
    <dataValidation allowBlank="true" errorStyle="stop" operator="between" showDropDown="false" showErrorMessage="false" showInputMessage="false" sqref="E2:F116" type="list">
      <formula1>"À tester,Oui,Non,Partiel"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25" defaultRowHeight="14.2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6" min="6" style="0" width="24"/>
  </cols>
  <sheetData>
    <row r="1" customFormat="false" ht="17.25" hidden="false" customHeight="true" outlineLevel="0" collapsed="false">
      <c r="A1" s="25" t="s">
        <v>428</v>
      </c>
      <c r="B1" s="25"/>
      <c r="C1" s="25"/>
      <c r="D1" s="25"/>
      <c r="E1" s="25"/>
      <c r="F1" s="25"/>
    </row>
    <row r="3" customFormat="false" ht="27" hidden="false" customHeight="true" outlineLevel="0" collapsed="false">
      <c r="A3" s="7" t="s">
        <v>11</v>
      </c>
      <c r="B3" s="7" t="s">
        <v>429</v>
      </c>
      <c r="C3" s="7" t="s">
        <v>430</v>
      </c>
      <c r="D3" s="7" t="s">
        <v>431</v>
      </c>
      <c r="E3" s="7" t="s">
        <v>432</v>
      </c>
      <c r="F3" s="7" t="s">
        <v>433</v>
      </c>
    </row>
    <row r="4" customFormat="false" ht="14.25" hidden="false" customHeight="false" outlineLevel="0" collapsed="false">
      <c r="A4" s="26" t="s">
        <v>20</v>
      </c>
      <c r="B4" s="27" t="n">
        <f aca="false">COUNTIF(Blocs!$A$2:$A$116,A4)</f>
        <v>5</v>
      </c>
      <c r="C4" s="27" t="n">
        <f aca="false">COUNTIFS(Blocs!$A$2:$A$116,A4,Blocs!$E$2:$E$116,"&lt;&gt;À tester")</f>
        <v>3</v>
      </c>
      <c r="D4" s="27" t="n">
        <f aca="false">COUNTIFS(Blocs!$A$2:$A$116,A4,Blocs!$E$2:$E$116,"Oui")</f>
        <v>2</v>
      </c>
      <c r="E4" s="27" t="n">
        <f aca="false">COUNTIFS(Blocs!$A$2:$A$116,A4,Blocs!$F$2:$F$116,"&lt;&gt;À tester")</f>
        <v>5</v>
      </c>
      <c r="F4" s="27" t="n">
        <f aca="false">COUNTIFS(Blocs!$A$2:$A$116,A4,Blocs!$F$2:$F$116,"Oui")</f>
        <v>5</v>
      </c>
    </row>
    <row r="5" customFormat="false" ht="14.25" hidden="false" customHeight="false" outlineLevel="0" collapsed="false">
      <c r="A5" s="26" t="s">
        <v>41</v>
      </c>
      <c r="B5" s="27" t="n">
        <f aca="false">COUNTIF(Blocs!$A$2:$A$116,A5)</f>
        <v>5</v>
      </c>
      <c r="C5" s="27" t="n">
        <f aca="false">COUNTIFS(Blocs!$A$2:$A$116,A5,Blocs!$E$2:$E$116,"&lt;&gt;À tester")</f>
        <v>5</v>
      </c>
      <c r="D5" s="27" t="n">
        <f aca="false">COUNTIFS(Blocs!$A$2:$A$116,A5,Blocs!$E$2:$E$116,"Oui")</f>
        <v>5</v>
      </c>
      <c r="E5" s="27" t="n">
        <f aca="false">COUNTIFS(Blocs!$A$2:$A$116,A5,Blocs!$F$2:$F$116,"&lt;&gt;À tester")</f>
        <v>5</v>
      </c>
      <c r="F5" s="27" t="n">
        <f aca="false">COUNTIFS(Blocs!$A$2:$A$116,A5,Blocs!$F$2:$F$116,"Oui")</f>
        <v>5</v>
      </c>
    </row>
    <row r="6" customFormat="false" ht="14.25" hidden="false" customHeight="false" outlineLevel="0" collapsed="false">
      <c r="A6" s="26" t="s">
        <v>52</v>
      </c>
      <c r="B6" s="27" t="n">
        <f aca="false">COUNTIF(Blocs!$A$2:$A$116,A6)</f>
        <v>7</v>
      </c>
      <c r="C6" s="27" t="n">
        <f aca="false">COUNTIFS(Blocs!$A$2:$A$116,A6,Blocs!$E$2:$E$116,"&lt;&gt;À tester")</f>
        <v>6</v>
      </c>
      <c r="D6" s="27" t="n">
        <f aca="false">COUNTIFS(Blocs!$A$2:$A$116,A6,Blocs!$E$2:$E$116,"Oui")</f>
        <v>6</v>
      </c>
      <c r="E6" s="27" t="n">
        <f aca="false">COUNTIFS(Blocs!$A$2:$A$116,A6,Blocs!$F$2:$F$116,"&lt;&gt;À tester")</f>
        <v>6</v>
      </c>
      <c r="F6" s="27" t="n">
        <f aca="false">COUNTIFS(Blocs!$A$2:$A$116,A6,Blocs!$F$2:$F$116,"Oui")</f>
        <v>6</v>
      </c>
    </row>
    <row r="7" customFormat="false" ht="14.25" hidden="false" customHeight="false" outlineLevel="0" collapsed="false">
      <c r="A7" s="26" t="s">
        <v>68</v>
      </c>
      <c r="B7" s="27" t="n">
        <f aca="false">COUNTIF(Blocs!$A$2:$A$116,A7)</f>
        <v>18</v>
      </c>
      <c r="C7" s="27" t="n">
        <f aca="false">COUNTIFS(Blocs!$A$2:$A$116,A7,Blocs!$E$2:$E$116,"&lt;&gt;À tester")</f>
        <v>0</v>
      </c>
      <c r="D7" s="27" t="n">
        <f aca="false">COUNTIFS(Blocs!$A$2:$A$116,A7,Blocs!$E$2:$E$116,"Oui")</f>
        <v>0</v>
      </c>
      <c r="E7" s="27" t="n">
        <f aca="false">COUNTIFS(Blocs!$A$2:$A$116,A7,Blocs!$F$2:$F$116,"&lt;&gt;À tester")</f>
        <v>0</v>
      </c>
      <c r="F7" s="27" t="n">
        <f aca="false">COUNTIFS(Blocs!$A$2:$A$116,A7,Blocs!$F$2:$F$116,"Oui")</f>
        <v>0</v>
      </c>
    </row>
    <row r="8" customFormat="false" ht="14.25" hidden="false" customHeight="false" outlineLevel="0" collapsed="false">
      <c r="A8" s="26" t="s">
        <v>107</v>
      </c>
      <c r="B8" s="27" t="n">
        <f aca="false">COUNTIF(Blocs!$A$2:$A$116,A8)</f>
        <v>4</v>
      </c>
      <c r="C8" s="27" t="n">
        <f aca="false">COUNTIFS(Blocs!$A$2:$A$116,A8,Blocs!$E$2:$E$116,"&lt;&gt;À tester")</f>
        <v>0</v>
      </c>
      <c r="D8" s="27" t="n">
        <f aca="false">COUNTIFS(Blocs!$A$2:$A$116,A8,Blocs!$E$2:$E$116,"Oui")</f>
        <v>0</v>
      </c>
      <c r="E8" s="27" t="n">
        <f aca="false">COUNTIFS(Blocs!$A$2:$A$116,A8,Blocs!$F$2:$F$116,"&lt;&gt;À tester")</f>
        <v>0</v>
      </c>
      <c r="F8" s="27" t="n">
        <f aca="false">COUNTIFS(Blocs!$A$2:$A$116,A8,Blocs!$F$2:$F$116,"Oui")</f>
        <v>0</v>
      </c>
    </row>
    <row r="9" customFormat="false" ht="14.25" hidden="false" customHeight="false" outlineLevel="0" collapsed="false">
      <c r="A9" s="26" t="s">
        <v>116</v>
      </c>
      <c r="B9" s="27" t="n">
        <f aca="false">COUNTIF(Blocs!$A$2:$A$116,A9)</f>
        <v>9</v>
      </c>
      <c r="C9" s="27" t="n">
        <f aca="false">COUNTIFS(Blocs!$A$2:$A$116,A9,Blocs!$E$2:$E$116,"&lt;&gt;À tester")</f>
        <v>0</v>
      </c>
      <c r="D9" s="27" t="n">
        <f aca="false">COUNTIFS(Blocs!$A$2:$A$116,A9,Blocs!$E$2:$E$116,"Oui")</f>
        <v>0</v>
      </c>
      <c r="E9" s="27" t="n">
        <f aca="false">COUNTIFS(Blocs!$A$2:$A$116,A9,Blocs!$F$2:$F$116,"&lt;&gt;À tester")</f>
        <v>0</v>
      </c>
      <c r="F9" s="27" t="n">
        <f aca="false">COUNTIFS(Blocs!$A$2:$A$116,A9,Blocs!$F$2:$F$116,"Oui")</f>
        <v>0</v>
      </c>
    </row>
    <row r="10" customFormat="false" ht="14.25" hidden="false" customHeight="false" outlineLevel="0" collapsed="false">
      <c r="A10" s="26" t="s">
        <v>139</v>
      </c>
      <c r="B10" s="27" t="n">
        <f aca="false">COUNTIF(Blocs!$A$2:$A$116,A10)</f>
        <v>6</v>
      </c>
      <c r="C10" s="27" t="n">
        <f aca="false">COUNTIFS(Blocs!$A$2:$A$116,A10,Blocs!$E$2:$E$116,"&lt;&gt;À tester")</f>
        <v>0</v>
      </c>
      <c r="D10" s="27" t="n">
        <f aca="false">COUNTIFS(Blocs!$A$2:$A$116,A10,Blocs!$E$2:$E$116,"Oui")</f>
        <v>0</v>
      </c>
      <c r="E10" s="27" t="n">
        <f aca="false">COUNTIFS(Blocs!$A$2:$A$116,A10,Blocs!$F$2:$F$116,"&lt;&gt;À tester")</f>
        <v>0</v>
      </c>
      <c r="F10" s="27" t="n">
        <f aca="false">COUNTIFS(Blocs!$A$2:$A$116,A10,Blocs!$F$2:$F$116,"Oui")</f>
        <v>0</v>
      </c>
    </row>
    <row r="11" customFormat="false" ht="14.25" hidden="false" customHeight="false" outlineLevel="0" collapsed="false">
      <c r="A11" s="26" t="s">
        <v>282</v>
      </c>
      <c r="B11" s="27" t="n">
        <f aca="false">COUNTIF(Blocs!$A$2:$A$116,A11)</f>
        <v>50</v>
      </c>
      <c r="C11" s="27" t="n">
        <f aca="false">COUNTIFS(Blocs!$A$2:$A$116,A11,Blocs!$E$2:$E$116,"&lt;&gt;À tester")</f>
        <v>4</v>
      </c>
      <c r="D11" s="27" t="n">
        <f aca="false">COUNTIFS(Blocs!$A$2:$A$116,A11,Blocs!$E$2:$E$116,"Oui")</f>
        <v>4</v>
      </c>
      <c r="E11" s="27" t="n">
        <f aca="false">COUNTIFS(Blocs!$A$2:$A$116,A11,Blocs!$F$2:$F$116,"&lt;&gt;À tester")</f>
        <v>4</v>
      </c>
      <c r="F11" s="27" t="n">
        <f aca="false">COUNTIFS(Blocs!$A$2:$A$116,A11,Blocs!$F$2:$F$116,"Oui")</f>
        <v>3</v>
      </c>
    </row>
    <row r="12" customFormat="false" ht="14.25" hidden="false" customHeight="false" outlineLevel="0" collapsed="false">
      <c r="A12" s="26" t="s">
        <v>401</v>
      </c>
      <c r="B12" s="27" t="n">
        <f aca="false">COUNTIF(Blocs!$A$2:$A$116,A12)</f>
        <v>2</v>
      </c>
      <c r="C12" s="27" t="n">
        <f aca="false">COUNTIFS(Blocs!$A$2:$A$116,A12,Blocs!$E$2:$E$116,"&lt;&gt;À tester")</f>
        <v>0</v>
      </c>
      <c r="D12" s="27" t="n">
        <f aca="false">COUNTIFS(Blocs!$A$2:$A$116,A12,Blocs!$E$2:$E$116,"Oui")</f>
        <v>0</v>
      </c>
      <c r="E12" s="27" t="n">
        <f aca="false">COUNTIFS(Blocs!$A$2:$A$116,A12,Blocs!$F$2:$F$116,"&lt;&gt;À tester")</f>
        <v>0</v>
      </c>
      <c r="F12" s="27" t="n">
        <f aca="false">COUNTIFS(Blocs!$A$2:$A$116,A12,Blocs!$F$2:$F$116,"Oui")</f>
        <v>0</v>
      </c>
    </row>
    <row r="13" customFormat="false" ht="14.25" hidden="false" customHeight="false" outlineLevel="0" collapsed="false">
      <c r="A13" s="26" t="s">
        <v>406</v>
      </c>
      <c r="B13" s="27" t="n">
        <f aca="false">COUNTIF(Blocs!$A$2:$A$116,A13)</f>
        <v>7</v>
      </c>
      <c r="C13" s="27" t="n">
        <f aca="false">COUNTIFS(Blocs!$A$2:$A$116,A13,Blocs!$E$2:$E$116,"&lt;&gt;À tester")</f>
        <v>1</v>
      </c>
      <c r="D13" s="27" t="n">
        <f aca="false">COUNTIFS(Blocs!$A$2:$A$116,A13,Blocs!$E$2:$E$116,"Oui")</f>
        <v>1</v>
      </c>
      <c r="E13" s="27" t="n">
        <f aca="false">COUNTIFS(Blocs!$A$2:$A$116,A13,Blocs!$F$2:$F$116,"&lt;&gt;À tester")</f>
        <v>1</v>
      </c>
      <c r="F13" s="27" t="n">
        <f aca="false">COUNTIFS(Blocs!$A$2:$A$116,A13,Blocs!$F$2:$F$116,"Oui")</f>
        <v>1</v>
      </c>
    </row>
    <row r="14" customFormat="false" ht="14.25" hidden="false" customHeight="false" outlineLevel="0" collapsed="false">
      <c r="A14" s="26" t="s">
        <v>419</v>
      </c>
      <c r="B14" s="27" t="n">
        <f aca="false">COUNTIF(Blocs!$A$2:$A$116,A14)</f>
        <v>2</v>
      </c>
      <c r="C14" s="27" t="n">
        <f aca="false">COUNTIFS(Blocs!$A$2:$A$116,A14,Blocs!$E$2:$E$116,"&lt;&gt;À tester")</f>
        <v>0</v>
      </c>
      <c r="D14" s="27" t="n">
        <f aca="false">COUNTIFS(Blocs!$A$2:$A$116,A14,Blocs!$E$2:$E$116,"Oui")</f>
        <v>0</v>
      </c>
      <c r="E14" s="27" t="n">
        <f aca="false">COUNTIFS(Blocs!$A$2:$A$116,A14,Blocs!$F$2:$F$116,"&lt;&gt;À tester")</f>
        <v>0</v>
      </c>
      <c r="F14" s="27" t="n">
        <f aca="false">COUNTIFS(Blocs!$A$2:$A$116,A14,Blocs!$F$2:$F$116,"Oui")</f>
        <v>0</v>
      </c>
    </row>
    <row r="15" customFormat="false" ht="14.25" hidden="false" customHeight="false" outlineLevel="0" collapsed="false">
      <c r="A15" s="28" t="s">
        <v>434</v>
      </c>
      <c r="B15" s="29" t="n">
        <f aca="false">SUM(B4:B14)</f>
        <v>115</v>
      </c>
      <c r="C15" s="29" t="n">
        <f aca="false">SUM(C4:C14)</f>
        <v>19</v>
      </c>
      <c r="D15" s="29" t="n">
        <f aca="false">SUM(D4:D14)</f>
        <v>18</v>
      </c>
      <c r="E15" s="29" t="n">
        <f aca="false">SUM(E4:E14)</f>
        <v>21</v>
      </c>
      <c r="F15" s="29" t="n">
        <f aca="false">SUM(F4:F14)</f>
        <v>20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2026-09-24T14:29:05Z</dcterms:created>
  <dc:creator>openpyxl</dc:creator>
  <dc:description/>
  <dc:language>fr-FR</dc:language>
  <cp:lastModifiedBy>jean reynaud</cp:lastModifiedBy>
  <dcterms:modified xsi:type="dcterms:W3CDTF">2026-10-07T10:13:19Z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